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e6b147eb28dc72/Documents/2026_UZH/lecture06/"/>
    </mc:Choice>
  </mc:AlternateContent>
  <xr:revisionPtr revIDLastSave="235" documentId="8_{465C50FE-4FBA-4263-AAAF-B7876A2BCD53}" xr6:coauthVersionLast="47" xr6:coauthVersionMax="47" xr10:uidLastSave="{2ECA14A2-2446-46E3-8EC4-62A0088D0AE2}"/>
  <bookViews>
    <workbookView xWindow="-108" yWindow="-108" windowWidth="23256" windowHeight="12456" xr2:uid="{83C51FF3-9F92-4395-9634-213BE9E8DD61}"/>
  </bookViews>
  <sheets>
    <sheet name="Raw Data" sheetId="1" r:id="rId1"/>
    <sheet name="US MKT" sheetId="2" r:id="rId2"/>
  </sheets>
  <definedNames>
    <definedName name="TRNR_1cf40419f5d946789a779da7b34afe66_607_4" hidden="1">'Raw Data'!$A$1</definedName>
    <definedName name="TRNR_4b0cd1f7df5c40d9a6b50f9c35f96cf2_607_3" hidden="1">'Raw Data'!$A$1</definedName>
    <definedName name="TRNR_7448a3a1990649e09c1c794b3ef2a785_607_4" hidden="1">'Raw Data'!$A$1</definedName>
    <definedName name="TRNR_75a959e53425473f86ae83c35191b39d_607_5" hidden="1">'Raw Data'!$A$1</definedName>
    <definedName name="TRNR_b3f16276ee7a4bbe98d4df3786609036_607_3" hidden="1">'Raw Data'!$A$1</definedName>
    <definedName name="TRNR_bd7ee23524664e45aad6c324733f5e52_607_5" hidden="1">'Raw Data'!$A$1</definedName>
    <definedName name="TRNR_bfbab6c2e1914d2a9089cac742c81214_607_5" hidden="1">'Raw Data'!$A$1</definedName>
    <definedName name="TRNR_d55e77ed20d24990a294d3e9add1e610_607_4" hidden="1">'Raw Data'!$A$1</definedName>
    <definedName name="TRNR_e29c02ebc82640f489159f7f56d9a47e_607_3" hidden="1">'Raw Data'!$A$1</definedName>
    <definedName name="TRNR_ff05cb77c351420dae028eea205453e9_607_3" hidden="1">'Raw Data'!$A$1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6" i="1" l="1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B471" i="2"/>
  <c r="C471" i="2"/>
  <c r="D471" i="2"/>
  <c r="B472" i="2"/>
  <c r="C472" i="2"/>
  <c r="D472" i="2"/>
  <c r="B473" i="2"/>
  <c r="C473" i="2"/>
  <c r="D473" i="2"/>
  <c r="B474" i="2"/>
  <c r="C474" i="2"/>
  <c r="D474" i="2"/>
  <c r="B475" i="2"/>
  <c r="C475" i="2"/>
  <c r="D475" i="2"/>
  <c r="B476" i="2"/>
  <c r="C476" i="2"/>
  <c r="D476" i="2"/>
  <c r="B477" i="2"/>
  <c r="C477" i="2"/>
  <c r="D477" i="2"/>
  <c r="B478" i="2"/>
  <c r="C478" i="2"/>
  <c r="D478" i="2"/>
  <c r="B479" i="2"/>
  <c r="C479" i="2"/>
  <c r="D479" i="2"/>
  <c r="B480" i="2"/>
  <c r="C480" i="2"/>
  <c r="D480" i="2"/>
  <c r="B481" i="2"/>
  <c r="C481" i="2"/>
  <c r="D481" i="2"/>
  <c r="B482" i="2"/>
  <c r="C482" i="2"/>
  <c r="D482" i="2"/>
  <c r="B483" i="2"/>
  <c r="C483" i="2"/>
  <c r="D483" i="2"/>
  <c r="B484" i="2"/>
  <c r="C484" i="2"/>
  <c r="D484" i="2"/>
  <c r="B485" i="2"/>
  <c r="C485" i="2"/>
  <c r="D485" i="2"/>
  <c r="B486" i="2"/>
  <c r="C486" i="2"/>
  <c r="D486" i="2"/>
  <c r="B487" i="2"/>
  <c r="C487" i="2"/>
  <c r="D487" i="2"/>
  <c r="B488" i="2"/>
  <c r="C488" i="2"/>
  <c r="D488" i="2"/>
  <c r="B489" i="2"/>
  <c r="C489" i="2"/>
  <c r="D489" i="2"/>
  <c r="B490" i="2"/>
  <c r="C490" i="2"/>
  <c r="D490" i="2"/>
  <c r="B491" i="2"/>
  <c r="C491" i="2"/>
  <c r="D491" i="2"/>
  <c r="B492" i="2"/>
  <c r="C492" i="2"/>
  <c r="D492" i="2"/>
  <c r="B493" i="2"/>
  <c r="C493" i="2"/>
  <c r="D493" i="2"/>
  <c r="B494" i="2"/>
  <c r="C494" i="2"/>
  <c r="D494" i="2"/>
  <c r="B495" i="2"/>
  <c r="C495" i="2"/>
  <c r="D495" i="2"/>
  <c r="I126" i="1"/>
  <c r="J615" i="1"/>
  <c r="H613" i="1"/>
  <c r="H614" i="1"/>
  <c r="H615" i="1"/>
  <c r="H616" i="1"/>
  <c r="H617" i="1"/>
  <c r="H618" i="1"/>
  <c r="H619" i="1"/>
  <c r="H620" i="1"/>
  <c r="G608" i="1"/>
  <c r="I608" i="1"/>
  <c r="J608" i="1"/>
  <c r="G609" i="1"/>
  <c r="H597" i="1" s="1"/>
  <c r="I609" i="1"/>
  <c r="J609" i="1"/>
  <c r="G610" i="1"/>
  <c r="H598" i="1" s="1"/>
  <c r="H610" i="1"/>
  <c r="I610" i="1"/>
  <c r="J610" i="1"/>
  <c r="G611" i="1"/>
  <c r="H599" i="1" s="1"/>
  <c r="I611" i="1"/>
  <c r="J611" i="1"/>
  <c r="G612" i="1"/>
  <c r="H612" i="1"/>
  <c r="I612" i="1"/>
  <c r="J612" i="1"/>
  <c r="G613" i="1"/>
  <c r="H601" i="1" s="1"/>
  <c r="I613" i="1"/>
  <c r="J613" i="1"/>
  <c r="G614" i="1"/>
  <c r="I614" i="1"/>
  <c r="J614" i="1"/>
  <c r="G615" i="1"/>
  <c r="H603" i="1" s="1"/>
  <c r="I615" i="1"/>
  <c r="G616" i="1"/>
  <c r="I616" i="1"/>
  <c r="J616" i="1"/>
  <c r="G617" i="1"/>
  <c r="H605" i="1" s="1"/>
  <c r="I617" i="1"/>
  <c r="J617" i="1"/>
  <c r="G618" i="1"/>
  <c r="I618" i="1"/>
  <c r="J618" i="1"/>
  <c r="G619" i="1"/>
  <c r="H607" i="1" s="1"/>
  <c r="I619" i="1"/>
  <c r="J619" i="1"/>
  <c r="G620" i="1"/>
  <c r="H608" i="1" s="1"/>
  <c r="I620" i="1"/>
  <c r="J620" i="1"/>
  <c r="G621" i="1"/>
  <c r="H609" i="1" s="1"/>
  <c r="I621" i="1"/>
  <c r="J621" i="1"/>
  <c r="G622" i="1"/>
  <c r="I622" i="1"/>
  <c r="J622" i="1"/>
  <c r="G623" i="1"/>
  <c r="H611" i="1" s="1"/>
  <c r="I623" i="1"/>
  <c r="J623" i="1"/>
  <c r="G624" i="1"/>
  <c r="I624" i="1"/>
  <c r="J624" i="1"/>
  <c r="G625" i="1"/>
  <c r="I625" i="1"/>
  <c r="J625" i="1"/>
  <c r="G626" i="1"/>
  <c r="I626" i="1"/>
  <c r="J626" i="1"/>
  <c r="G627" i="1"/>
  <c r="I627" i="1"/>
  <c r="J627" i="1"/>
  <c r="G628" i="1"/>
  <c r="I628" i="1"/>
  <c r="J628" i="1"/>
  <c r="G629" i="1"/>
  <c r="I629" i="1"/>
  <c r="J629" i="1"/>
  <c r="G630" i="1"/>
  <c r="I630" i="1"/>
  <c r="J630" i="1"/>
  <c r="G631" i="1"/>
  <c r="I631" i="1"/>
  <c r="J631" i="1"/>
  <c r="G632" i="1"/>
  <c r="I632" i="1"/>
  <c r="J632" i="1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A447" i="2"/>
  <c r="C446" i="2"/>
  <c r="A446" i="2"/>
  <c r="C445" i="2"/>
  <c r="A445" i="2"/>
  <c r="C444" i="2"/>
  <c r="A444" i="2"/>
  <c r="C443" i="2"/>
  <c r="A443" i="2"/>
  <c r="C442" i="2"/>
  <c r="A442" i="2"/>
  <c r="C441" i="2"/>
  <c r="A441" i="2"/>
  <c r="C440" i="2"/>
  <c r="A440" i="2"/>
  <c r="C439" i="2"/>
  <c r="A439" i="2"/>
  <c r="C438" i="2"/>
  <c r="A438" i="2"/>
  <c r="C437" i="2"/>
  <c r="A437" i="2"/>
  <c r="C436" i="2"/>
  <c r="A436" i="2"/>
  <c r="C435" i="2"/>
  <c r="A435" i="2"/>
  <c r="C434" i="2"/>
  <c r="A434" i="2"/>
  <c r="C433" i="2"/>
  <c r="A433" i="2"/>
  <c r="C432" i="2"/>
  <c r="A432" i="2"/>
  <c r="C431" i="2"/>
  <c r="A431" i="2"/>
  <c r="C430" i="2"/>
  <c r="A430" i="2"/>
  <c r="C429" i="2"/>
  <c r="A429" i="2"/>
  <c r="C428" i="2"/>
  <c r="A428" i="2"/>
  <c r="C427" i="2"/>
  <c r="A427" i="2"/>
  <c r="C426" i="2"/>
  <c r="A426" i="2"/>
  <c r="C425" i="2"/>
  <c r="A425" i="2"/>
  <c r="C424" i="2"/>
  <c r="A424" i="2"/>
  <c r="C423" i="2"/>
  <c r="A423" i="2"/>
  <c r="C422" i="2"/>
  <c r="A422" i="2"/>
  <c r="C421" i="2"/>
  <c r="A421" i="2"/>
  <c r="C420" i="2"/>
  <c r="A420" i="2"/>
  <c r="C419" i="2"/>
  <c r="A419" i="2"/>
  <c r="C418" i="2"/>
  <c r="A418" i="2"/>
  <c r="C417" i="2"/>
  <c r="A417" i="2"/>
  <c r="C416" i="2"/>
  <c r="A416" i="2"/>
  <c r="C415" i="2"/>
  <c r="A415" i="2"/>
  <c r="C414" i="2"/>
  <c r="A414" i="2"/>
  <c r="C413" i="2"/>
  <c r="A413" i="2"/>
  <c r="C412" i="2"/>
  <c r="A412" i="2"/>
  <c r="C411" i="2"/>
  <c r="A411" i="2"/>
  <c r="C410" i="2"/>
  <c r="A410" i="2"/>
  <c r="C409" i="2"/>
  <c r="A409" i="2"/>
  <c r="C408" i="2"/>
  <c r="A408" i="2"/>
  <c r="C407" i="2"/>
  <c r="A407" i="2"/>
  <c r="C406" i="2"/>
  <c r="A406" i="2"/>
  <c r="C405" i="2"/>
  <c r="A405" i="2"/>
  <c r="C404" i="2"/>
  <c r="A404" i="2"/>
  <c r="C403" i="2"/>
  <c r="A403" i="2"/>
  <c r="C402" i="2"/>
  <c r="A402" i="2"/>
  <c r="C401" i="2"/>
  <c r="A401" i="2"/>
  <c r="C400" i="2"/>
  <c r="A400" i="2"/>
  <c r="C399" i="2"/>
  <c r="A399" i="2"/>
  <c r="C398" i="2"/>
  <c r="A398" i="2"/>
  <c r="C397" i="2"/>
  <c r="A397" i="2"/>
  <c r="C396" i="2"/>
  <c r="A396" i="2"/>
  <c r="C395" i="2"/>
  <c r="A395" i="2"/>
  <c r="C394" i="2"/>
  <c r="A394" i="2"/>
  <c r="C393" i="2"/>
  <c r="A393" i="2"/>
  <c r="C392" i="2"/>
  <c r="A392" i="2"/>
  <c r="C391" i="2"/>
  <c r="A391" i="2"/>
  <c r="C390" i="2"/>
  <c r="A390" i="2"/>
  <c r="C389" i="2"/>
  <c r="A389" i="2"/>
  <c r="C388" i="2"/>
  <c r="A388" i="2"/>
  <c r="C387" i="2"/>
  <c r="A387" i="2"/>
  <c r="C386" i="2"/>
  <c r="A386" i="2"/>
  <c r="C385" i="2"/>
  <c r="A385" i="2"/>
  <c r="C384" i="2"/>
  <c r="A384" i="2"/>
  <c r="C383" i="2"/>
  <c r="A383" i="2"/>
  <c r="C382" i="2"/>
  <c r="A382" i="2"/>
  <c r="C381" i="2"/>
  <c r="A381" i="2"/>
  <c r="C380" i="2"/>
  <c r="A380" i="2"/>
  <c r="C379" i="2"/>
  <c r="A379" i="2"/>
  <c r="C378" i="2"/>
  <c r="A378" i="2"/>
  <c r="C377" i="2"/>
  <c r="A377" i="2"/>
  <c r="C376" i="2"/>
  <c r="A376" i="2"/>
  <c r="C375" i="2"/>
  <c r="A375" i="2"/>
  <c r="C374" i="2"/>
  <c r="A374" i="2"/>
  <c r="C373" i="2"/>
  <c r="A373" i="2"/>
  <c r="C372" i="2"/>
  <c r="A372" i="2"/>
  <c r="C371" i="2"/>
  <c r="A371" i="2"/>
  <c r="C370" i="2"/>
  <c r="A370" i="2"/>
  <c r="C369" i="2"/>
  <c r="A369" i="2"/>
  <c r="C368" i="2"/>
  <c r="A368" i="2"/>
  <c r="C367" i="2"/>
  <c r="A367" i="2"/>
  <c r="C366" i="2"/>
  <c r="A366" i="2"/>
  <c r="C365" i="2"/>
  <c r="A365" i="2"/>
  <c r="C364" i="2"/>
  <c r="A364" i="2"/>
  <c r="C363" i="2"/>
  <c r="A363" i="2"/>
  <c r="C362" i="2"/>
  <c r="A362" i="2"/>
  <c r="C361" i="2"/>
  <c r="A361" i="2"/>
  <c r="C360" i="2"/>
  <c r="A360" i="2"/>
  <c r="C359" i="2"/>
  <c r="A359" i="2"/>
  <c r="C358" i="2"/>
  <c r="A358" i="2"/>
  <c r="C357" i="2"/>
  <c r="A357" i="2"/>
  <c r="C356" i="2"/>
  <c r="A356" i="2"/>
  <c r="C355" i="2"/>
  <c r="A355" i="2"/>
  <c r="C354" i="2"/>
  <c r="A354" i="2"/>
  <c r="C353" i="2"/>
  <c r="A353" i="2"/>
  <c r="C352" i="2"/>
  <c r="A352" i="2"/>
  <c r="C351" i="2"/>
  <c r="A351" i="2"/>
  <c r="C350" i="2"/>
  <c r="A350" i="2"/>
  <c r="C349" i="2"/>
  <c r="A349" i="2"/>
  <c r="C348" i="2"/>
  <c r="A348" i="2"/>
  <c r="C347" i="2"/>
  <c r="A347" i="2"/>
  <c r="C346" i="2"/>
  <c r="A346" i="2"/>
  <c r="C345" i="2"/>
  <c r="A345" i="2"/>
  <c r="C344" i="2"/>
  <c r="A344" i="2"/>
  <c r="C343" i="2"/>
  <c r="A343" i="2"/>
  <c r="C342" i="2"/>
  <c r="A342" i="2"/>
  <c r="C341" i="2"/>
  <c r="A341" i="2"/>
  <c r="C340" i="2"/>
  <c r="A340" i="2"/>
  <c r="C339" i="2"/>
  <c r="A339" i="2"/>
  <c r="C338" i="2"/>
  <c r="A338" i="2"/>
  <c r="C337" i="2"/>
  <c r="A337" i="2"/>
  <c r="C336" i="2"/>
  <c r="A336" i="2"/>
  <c r="C335" i="2"/>
  <c r="A335" i="2"/>
  <c r="C334" i="2"/>
  <c r="A334" i="2"/>
  <c r="C333" i="2"/>
  <c r="A333" i="2"/>
  <c r="C332" i="2"/>
  <c r="A332" i="2"/>
  <c r="C331" i="2"/>
  <c r="A331" i="2"/>
  <c r="C330" i="2"/>
  <c r="A330" i="2"/>
  <c r="C329" i="2"/>
  <c r="A329" i="2"/>
  <c r="C328" i="2"/>
  <c r="A328" i="2"/>
  <c r="C327" i="2"/>
  <c r="A327" i="2"/>
  <c r="C326" i="2"/>
  <c r="A326" i="2"/>
  <c r="C325" i="2"/>
  <c r="A325" i="2"/>
  <c r="C324" i="2"/>
  <c r="A324" i="2"/>
  <c r="C323" i="2"/>
  <c r="A323" i="2"/>
  <c r="C322" i="2"/>
  <c r="A322" i="2"/>
  <c r="C321" i="2"/>
  <c r="A321" i="2"/>
  <c r="C320" i="2"/>
  <c r="A320" i="2"/>
  <c r="C319" i="2"/>
  <c r="A319" i="2"/>
  <c r="C318" i="2"/>
  <c r="A318" i="2"/>
  <c r="C317" i="2"/>
  <c r="A317" i="2"/>
  <c r="C316" i="2"/>
  <c r="A316" i="2"/>
  <c r="C315" i="2"/>
  <c r="A315" i="2"/>
  <c r="C314" i="2"/>
  <c r="A314" i="2"/>
  <c r="C313" i="2"/>
  <c r="A313" i="2"/>
  <c r="C312" i="2"/>
  <c r="A312" i="2"/>
  <c r="C311" i="2"/>
  <c r="A311" i="2"/>
  <c r="C310" i="2"/>
  <c r="A310" i="2"/>
  <c r="C309" i="2"/>
  <c r="A309" i="2"/>
  <c r="C308" i="2"/>
  <c r="A308" i="2"/>
  <c r="C307" i="2"/>
  <c r="A307" i="2"/>
  <c r="C306" i="2"/>
  <c r="A306" i="2"/>
  <c r="C305" i="2"/>
  <c r="A305" i="2"/>
  <c r="C304" i="2"/>
  <c r="A304" i="2"/>
  <c r="C303" i="2"/>
  <c r="A303" i="2"/>
  <c r="C302" i="2"/>
  <c r="A302" i="2"/>
  <c r="C301" i="2"/>
  <c r="A301" i="2"/>
  <c r="C300" i="2"/>
  <c r="A300" i="2"/>
  <c r="C299" i="2"/>
  <c r="A299" i="2"/>
  <c r="C298" i="2"/>
  <c r="A298" i="2"/>
  <c r="C297" i="2"/>
  <c r="A297" i="2"/>
  <c r="C296" i="2"/>
  <c r="A296" i="2"/>
  <c r="C295" i="2"/>
  <c r="A295" i="2"/>
  <c r="C294" i="2"/>
  <c r="A294" i="2"/>
  <c r="C293" i="2"/>
  <c r="A293" i="2"/>
  <c r="C292" i="2"/>
  <c r="A292" i="2"/>
  <c r="C291" i="2"/>
  <c r="A291" i="2"/>
  <c r="C290" i="2"/>
  <c r="A290" i="2"/>
  <c r="C289" i="2"/>
  <c r="A289" i="2"/>
  <c r="C288" i="2"/>
  <c r="A288" i="2"/>
  <c r="C287" i="2"/>
  <c r="A287" i="2"/>
  <c r="C286" i="2"/>
  <c r="A286" i="2"/>
  <c r="C285" i="2"/>
  <c r="A285" i="2"/>
  <c r="C284" i="2"/>
  <c r="A284" i="2"/>
  <c r="C283" i="2"/>
  <c r="A283" i="2"/>
  <c r="C282" i="2"/>
  <c r="A282" i="2"/>
  <c r="C281" i="2"/>
  <c r="A281" i="2"/>
  <c r="C280" i="2"/>
  <c r="A280" i="2"/>
  <c r="C279" i="2"/>
  <c r="A279" i="2"/>
  <c r="C278" i="2"/>
  <c r="A278" i="2"/>
  <c r="C277" i="2"/>
  <c r="A277" i="2"/>
  <c r="C276" i="2"/>
  <c r="A276" i="2"/>
  <c r="C275" i="2"/>
  <c r="A275" i="2"/>
  <c r="C274" i="2"/>
  <c r="A274" i="2"/>
  <c r="C273" i="2"/>
  <c r="A273" i="2"/>
  <c r="C272" i="2"/>
  <c r="A272" i="2"/>
  <c r="C271" i="2"/>
  <c r="A271" i="2"/>
  <c r="C270" i="2"/>
  <c r="A270" i="2"/>
  <c r="C269" i="2"/>
  <c r="A269" i="2"/>
  <c r="C268" i="2"/>
  <c r="A268" i="2"/>
  <c r="C267" i="2"/>
  <c r="A267" i="2"/>
  <c r="C266" i="2"/>
  <c r="A266" i="2"/>
  <c r="C265" i="2"/>
  <c r="A265" i="2"/>
  <c r="C264" i="2"/>
  <c r="A264" i="2"/>
  <c r="C263" i="2"/>
  <c r="A263" i="2"/>
  <c r="C262" i="2"/>
  <c r="A262" i="2"/>
  <c r="C261" i="2"/>
  <c r="A261" i="2"/>
  <c r="C260" i="2"/>
  <c r="A260" i="2"/>
  <c r="C259" i="2"/>
  <c r="A259" i="2"/>
  <c r="C258" i="2"/>
  <c r="A258" i="2"/>
  <c r="C257" i="2"/>
  <c r="A257" i="2"/>
  <c r="C256" i="2"/>
  <c r="A256" i="2"/>
  <c r="C255" i="2"/>
  <c r="A255" i="2"/>
  <c r="C254" i="2"/>
  <c r="A254" i="2"/>
  <c r="C253" i="2"/>
  <c r="A253" i="2"/>
  <c r="C252" i="2"/>
  <c r="A252" i="2"/>
  <c r="C251" i="2"/>
  <c r="A251" i="2"/>
  <c r="C250" i="2"/>
  <c r="A250" i="2"/>
  <c r="C249" i="2"/>
  <c r="A249" i="2"/>
  <c r="C248" i="2"/>
  <c r="A248" i="2"/>
  <c r="C247" i="2"/>
  <c r="A247" i="2"/>
  <c r="C246" i="2"/>
  <c r="A246" i="2"/>
  <c r="C245" i="2"/>
  <c r="A245" i="2"/>
  <c r="C244" i="2"/>
  <c r="A244" i="2"/>
  <c r="C243" i="2"/>
  <c r="A243" i="2"/>
  <c r="C242" i="2"/>
  <c r="A242" i="2"/>
  <c r="C241" i="2"/>
  <c r="A241" i="2"/>
  <c r="C240" i="2"/>
  <c r="A240" i="2"/>
  <c r="C239" i="2"/>
  <c r="A239" i="2"/>
  <c r="C238" i="2"/>
  <c r="A238" i="2"/>
  <c r="C237" i="2"/>
  <c r="A237" i="2"/>
  <c r="C236" i="2"/>
  <c r="A236" i="2"/>
  <c r="C235" i="2"/>
  <c r="A235" i="2"/>
  <c r="C234" i="2"/>
  <c r="A234" i="2"/>
  <c r="C233" i="2"/>
  <c r="A233" i="2"/>
  <c r="C232" i="2"/>
  <c r="A232" i="2"/>
  <c r="C231" i="2"/>
  <c r="A231" i="2"/>
  <c r="C230" i="2"/>
  <c r="A230" i="2"/>
  <c r="C229" i="2"/>
  <c r="A229" i="2"/>
  <c r="C228" i="2"/>
  <c r="A228" i="2"/>
  <c r="C227" i="2"/>
  <c r="A227" i="2"/>
  <c r="C226" i="2"/>
  <c r="A226" i="2"/>
  <c r="C225" i="2"/>
  <c r="A225" i="2"/>
  <c r="C224" i="2"/>
  <c r="A224" i="2"/>
  <c r="C223" i="2"/>
  <c r="A223" i="2"/>
  <c r="C222" i="2"/>
  <c r="A222" i="2"/>
  <c r="C221" i="2"/>
  <c r="A221" i="2"/>
  <c r="C220" i="2"/>
  <c r="A220" i="2"/>
  <c r="C219" i="2"/>
  <c r="A219" i="2"/>
  <c r="C218" i="2"/>
  <c r="A218" i="2"/>
  <c r="C217" i="2"/>
  <c r="A217" i="2"/>
  <c r="C216" i="2"/>
  <c r="A216" i="2"/>
  <c r="C215" i="2"/>
  <c r="A215" i="2"/>
  <c r="C214" i="2"/>
  <c r="A214" i="2"/>
  <c r="C213" i="2"/>
  <c r="A213" i="2"/>
  <c r="C212" i="2"/>
  <c r="A212" i="2"/>
  <c r="C211" i="2"/>
  <c r="A211" i="2"/>
  <c r="C210" i="2"/>
  <c r="A210" i="2"/>
  <c r="C209" i="2"/>
  <c r="A209" i="2"/>
  <c r="C208" i="2"/>
  <c r="A208" i="2"/>
  <c r="C207" i="2"/>
  <c r="A207" i="2"/>
  <c r="C206" i="2"/>
  <c r="A206" i="2"/>
  <c r="C205" i="2"/>
  <c r="A205" i="2"/>
  <c r="C204" i="2"/>
  <c r="A204" i="2"/>
  <c r="C203" i="2"/>
  <c r="A203" i="2"/>
  <c r="C202" i="2"/>
  <c r="A202" i="2"/>
  <c r="C201" i="2"/>
  <c r="A201" i="2"/>
  <c r="C200" i="2"/>
  <c r="A200" i="2"/>
  <c r="C199" i="2"/>
  <c r="A199" i="2"/>
  <c r="C198" i="2"/>
  <c r="A198" i="2"/>
  <c r="C197" i="2"/>
  <c r="A197" i="2"/>
  <c r="C196" i="2"/>
  <c r="A196" i="2"/>
  <c r="C195" i="2"/>
  <c r="A195" i="2"/>
  <c r="C194" i="2"/>
  <c r="A194" i="2"/>
  <c r="C193" i="2"/>
  <c r="A193" i="2"/>
  <c r="C192" i="2"/>
  <c r="A192" i="2"/>
  <c r="C191" i="2"/>
  <c r="A191" i="2"/>
  <c r="C190" i="2"/>
  <c r="A190" i="2"/>
  <c r="C189" i="2"/>
  <c r="A189" i="2"/>
  <c r="C188" i="2"/>
  <c r="A188" i="2"/>
  <c r="C187" i="2"/>
  <c r="A187" i="2"/>
  <c r="C186" i="2"/>
  <c r="A186" i="2"/>
  <c r="C185" i="2"/>
  <c r="A185" i="2"/>
  <c r="C184" i="2"/>
  <c r="A184" i="2"/>
  <c r="C183" i="2"/>
  <c r="A183" i="2"/>
  <c r="C182" i="2"/>
  <c r="A182" i="2"/>
  <c r="C181" i="2"/>
  <c r="A181" i="2"/>
  <c r="C180" i="2"/>
  <c r="A180" i="2"/>
  <c r="C179" i="2"/>
  <c r="A179" i="2"/>
  <c r="C178" i="2"/>
  <c r="A178" i="2"/>
  <c r="C177" i="2"/>
  <c r="A177" i="2"/>
  <c r="C176" i="2"/>
  <c r="A176" i="2"/>
  <c r="C175" i="2"/>
  <c r="A175" i="2"/>
  <c r="C174" i="2"/>
  <c r="A174" i="2"/>
  <c r="C173" i="2"/>
  <c r="A173" i="2"/>
  <c r="C172" i="2"/>
  <c r="A172" i="2"/>
  <c r="C171" i="2"/>
  <c r="A171" i="2"/>
  <c r="C170" i="2"/>
  <c r="A170" i="2"/>
  <c r="C169" i="2"/>
  <c r="A169" i="2"/>
  <c r="C168" i="2"/>
  <c r="A168" i="2"/>
  <c r="C167" i="2"/>
  <c r="A167" i="2"/>
  <c r="C166" i="2"/>
  <c r="A166" i="2"/>
  <c r="C165" i="2"/>
  <c r="A165" i="2"/>
  <c r="C164" i="2"/>
  <c r="A164" i="2"/>
  <c r="C163" i="2"/>
  <c r="A163" i="2"/>
  <c r="C162" i="2"/>
  <c r="A162" i="2"/>
  <c r="C161" i="2"/>
  <c r="A161" i="2"/>
  <c r="C160" i="2"/>
  <c r="A160" i="2"/>
  <c r="C159" i="2"/>
  <c r="A159" i="2"/>
  <c r="C158" i="2"/>
  <c r="A158" i="2"/>
  <c r="C157" i="2"/>
  <c r="A157" i="2"/>
  <c r="C156" i="2"/>
  <c r="A156" i="2"/>
  <c r="C155" i="2"/>
  <c r="A155" i="2"/>
  <c r="C154" i="2"/>
  <c r="A154" i="2"/>
  <c r="C153" i="2"/>
  <c r="A153" i="2"/>
  <c r="C152" i="2"/>
  <c r="A152" i="2"/>
  <c r="C151" i="2"/>
  <c r="A151" i="2"/>
  <c r="C150" i="2"/>
  <c r="A150" i="2"/>
  <c r="C149" i="2"/>
  <c r="A149" i="2"/>
  <c r="C148" i="2"/>
  <c r="A148" i="2"/>
  <c r="C147" i="2"/>
  <c r="A147" i="2"/>
  <c r="C146" i="2"/>
  <c r="A146" i="2"/>
  <c r="C145" i="2"/>
  <c r="A145" i="2"/>
  <c r="C144" i="2"/>
  <c r="A144" i="2"/>
  <c r="C143" i="2"/>
  <c r="A143" i="2"/>
  <c r="C142" i="2"/>
  <c r="A142" i="2"/>
  <c r="C141" i="2"/>
  <c r="A141" i="2"/>
  <c r="C140" i="2"/>
  <c r="A140" i="2"/>
  <c r="C139" i="2"/>
  <c r="A139" i="2"/>
  <c r="C138" i="2"/>
  <c r="A138" i="2"/>
  <c r="C137" i="2"/>
  <c r="A137" i="2"/>
  <c r="C136" i="2"/>
  <c r="A136" i="2"/>
  <c r="C135" i="2"/>
  <c r="A135" i="2"/>
  <c r="C134" i="2"/>
  <c r="A134" i="2"/>
  <c r="C133" i="2"/>
  <c r="A133" i="2"/>
  <c r="C132" i="2"/>
  <c r="A132" i="2"/>
  <c r="C131" i="2"/>
  <c r="A131" i="2"/>
  <c r="C130" i="2"/>
  <c r="A130" i="2"/>
  <c r="C129" i="2"/>
  <c r="A129" i="2"/>
  <c r="C128" i="2"/>
  <c r="A128" i="2"/>
  <c r="C127" i="2"/>
  <c r="A127" i="2"/>
  <c r="C126" i="2"/>
  <c r="A126" i="2"/>
  <c r="C125" i="2"/>
  <c r="A125" i="2"/>
  <c r="C124" i="2"/>
  <c r="A124" i="2"/>
  <c r="C123" i="2"/>
  <c r="A123" i="2"/>
  <c r="C122" i="2"/>
  <c r="A122" i="2"/>
  <c r="C121" i="2"/>
  <c r="A121" i="2"/>
  <c r="C120" i="2"/>
  <c r="A120" i="2"/>
  <c r="C119" i="2"/>
  <c r="A119" i="2"/>
  <c r="C118" i="2"/>
  <c r="A118" i="2"/>
  <c r="C117" i="2"/>
  <c r="A117" i="2"/>
  <c r="C116" i="2"/>
  <c r="A116" i="2"/>
  <c r="C115" i="2"/>
  <c r="A115" i="2"/>
  <c r="C114" i="2"/>
  <c r="A114" i="2"/>
  <c r="C113" i="2"/>
  <c r="A113" i="2"/>
  <c r="C112" i="2"/>
  <c r="A112" i="2"/>
  <c r="C111" i="2"/>
  <c r="A111" i="2"/>
  <c r="C110" i="2"/>
  <c r="A110" i="2"/>
  <c r="C109" i="2"/>
  <c r="A109" i="2"/>
  <c r="C108" i="2"/>
  <c r="A108" i="2"/>
  <c r="C107" i="2"/>
  <c r="A107" i="2"/>
  <c r="C106" i="2"/>
  <c r="A106" i="2"/>
  <c r="C105" i="2"/>
  <c r="A105" i="2"/>
  <c r="C104" i="2"/>
  <c r="A104" i="2"/>
  <c r="C103" i="2"/>
  <c r="A103" i="2"/>
  <c r="C102" i="2"/>
  <c r="A102" i="2"/>
  <c r="C101" i="2"/>
  <c r="A101" i="2"/>
  <c r="C100" i="2"/>
  <c r="A100" i="2"/>
  <c r="C99" i="2"/>
  <c r="A99" i="2"/>
  <c r="C98" i="2"/>
  <c r="A98" i="2"/>
  <c r="C97" i="2"/>
  <c r="A97" i="2"/>
  <c r="C96" i="2"/>
  <c r="A96" i="2"/>
  <c r="C95" i="2"/>
  <c r="A95" i="2"/>
  <c r="C94" i="2"/>
  <c r="A94" i="2"/>
  <c r="C93" i="2"/>
  <c r="A93" i="2"/>
  <c r="C92" i="2"/>
  <c r="A92" i="2"/>
  <c r="C91" i="2"/>
  <c r="A91" i="2"/>
  <c r="C90" i="2"/>
  <c r="A90" i="2"/>
  <c r="C89" i="2"/>
  <c r="A89" i="2"/>
  <c r="C88" i="2"/>
  <c r="A88" i="2"/>
  <c r="C87" i="2"/>
  <c r="A87" i="2"/>
  <c r="C86" i="2"/>
  <c r="A86" i="2"/>
  <c r="C85" i="2"/>
  <c r="A85" i="2"/>
  <c r="C84" i="2"/>
  <c r="A84" i="2"/>
  <c r="C83" i="2"/>
  <c r="A83" i="2"/>
  <c r="C82" i="2"/>
  <c r="A82" i="2"/>
  <c r="C81" i="2"/>
  <c r="A81" i="2"/>
  <c r="C80" i="2"/>
  <c r="A80" i="2"/>
  <c r="C79" i="2"/>
  <c r="A79" i="2"/>
  <c r="C78" i="2"/>
  <c r="A78" i="2"/>
  <c r="C77" i="2"/>
  <c r="A77" i="2"/>
  <c r="C76" i="2"/>
  <c r="A76" i="2"/>
  <c r="C75" i="2"/>
  <c r="A75" i="2"/>
  <c r="C74" i="2"/>
  <c r="A74" i="2"/>
  <c r="C73" i="2"/>
  <c r="A73" i="2"/>
  <c r="C72" i="2"/>
  <c r="A72" i="2"/>
  <c r="C71" i="2"/>
  <c r="A71" i="2"/>
  <c r="C70" i="2"/>
  <c r="A70" i="2"/>
  <c r="C69" i="2"/>
  <c r="A69" i="2"/>
  <c r="C68" i="2"/>
  <c r="A68" i="2"/>
  <c r="C67" i="2"/>
  <c r="A67" i="2"/>
  <c r="C66" i="2"/>
  <c r="A66" i="2"/>
  <c r="C65" i="2"/>
  <c r="A65" i="2"/>
  <c r="C64" i="2"/>
  <c r="A64" i="2"/>
  <c r="C63" i="2"/>
  <c r="A63" i="2"/>
  <c r="C62" i="2"/>
  <c r="A62" i="2"/>
  <c r="C61" i="2"/>
  <c r="A61" i="2"/>
  <c r="C60" i="2"/>
  <c r="A60" i="2"/>
  <c r="C59" i="2"/>
  <c r="A59" i="2"/>
  <c r="C58" i="2"/>
  <c r="A58" i="2"/>
  <c r="C57" i="2"/>
  <c r="A57" i="2"/>
  <c r="C56" i="2"/>
  <c r="A56" i="2"/>
  <c r="C55" i="2"/>
  <c r="A55" i="2"/>
  <c r="C54" i="2"/>
  <c r="A54" i="2"/>
  <c r="C53" i="2"/>
  <c r="A53" i="2"/>
  <c r="C52" i="2"/>
  <c r="A52" i="2"/>
  <c r="C51" i="2"/>
  <c r="A51" i="2"/>
  <c r="C50" i="2"/>
  <c r="A50" i="2"/>
  <c r="C49" i="2"/>
  <c r="A49" i="2"/>
  <c r="C48" i="2"/>
  <c r="A48" i="2"/>
  <c r="C47" i="2"/>
  <c r="A47" i="2"/>
  <c r="C46" i="2"/>
  <c r="A46" i="2"/>
  <c r="C45" i="2"/>
  <c r="A45" i="2"/>
  <c r="C44" i="2"/>
  <c r="A44" i="2"/>
  <c r="C43" i="2"/>
  <c r="A43" i="2"/>
  <c r="C42" i="2"/>
  <c r="A42" i="2"/>
  <c r="C41" i="2"/>
  <c r="A41" i="2"/>
  <c r="C40" i="2"/>
  <c r="A40" i="2"/>
  <c r="C39" i="2"/>
  <c r="A39" i="2"/>
  <c r="C38" i="2"/>
  <c r="A38" i="2"/>
  <c r="C37" i="2"/>
  <c r="A37" i="2"/>
  <c r="C36" i="2"/>
  <c r="A36" i="2"/>
  <c r="C35" i="2"/>
  <c r="A35" i="2"/>
  <c r="C34" i="2"/>
  <c r="A34" i="2"/>
  <c r="C33" i="2"/>
  <c r="A33" i="2"/>
  <c r="C32" i="2"/>
  <c r="A32" i="2"/>
  <c r="C31" i="2"/>
  <c r="A31" i="2"/>
  <c r="C30" i="2"/>
  <c r="A30" i="2"/>
  <c r="C29" i="2"/>
  <c r="A29" i="2"/>
  <c r="C28" i="2"/>
  <c r="A28" i="2"/>
  <c r="C27" i="2"/>
  <c r="A27" i="2"/>
  <c r="C26" i="2"/>
  <c r="A26" i="2"/>
  <c r="C25" i="2"/>
  <c r="A25" i="2"/>
  <c r="C24" i="2"/>
  <c r="A24" i="2"/>
  <c r="C23" i="2"/>
  <c r="A23" i="2"/>
  <c r="C22" i="2"/>
  <c r="A22" i="2"/>
  <c r="C21" i="2"/>
  <c r="A21" i="2"/>
  <c r="C20" i="2"/>
  <c r="A20" i="2"/>
  <c r="C19" i="2"/>
  <c r="A19" i="2"/>
  <c r="C18" i="2"/>
  <c r="A18" i="2"/>
  <c r="C17" i="2"/>
  <c r="A17" i="2"/>
  <c r="C16" i="2"/>
  <c r="A16" i="2"/>
  <c r="C15" i="2"/>
  <c r="A15" i="2"/>
  <c r="C14" i="2"/>
  <c r="A14" i="2"/>
  <c r="C13" i="2"/>
  <c r="A13" i="2"/>
  <c r="C12" i="2"/>
  <c r="A12" i="2"/>
  <c r="C11" i="2"/>
  <c r="A11" i="2"/>
  <c r="C10" i="2"/>
  <c r="A10" i="2"/>
  <c r="C9" i="2"/>
  <c r="A9" i="2"/>
  <c r="C8" i="2"/>
  <c r="A8" i="2"/>
  <c r="C7" i="2"/>
  <c r="A7" i="2"/>
  <c r="C6" i="2"/>
  <c r="A6" i="2"/>
  <c r="C5" i="2"/>
  <c r="A5" i="2"/>
  <c r="C4" i="2"/>
  <c r="A4" i="2"/>
  <c r="C3" i="2"/>
  <c r="A3" i="2"/>
  <c r="C2" i="2"/>
  <c r="A2" i="2"/>
  <c r="D1" i="2"/>
  <c r="C1" i="2"/>
  <c r="B1" i="2"/>
  <c r="H596" i="1"/>
  <c r="J607" i="1"/>
  <c r="I607" i="1"/>
  <c r="G607" i="1"/>
  <c r="H595" i="1" s="1"/>
  <c r="D470" i="2" s="1"/>
  <c r="J606" i="1"/>
  <c r="I606" i="1"/>
  <c r="H606" i="1"/>
  <c r="G606" i="1"/>
  <c r="H594" i="1" s="1"/>
  <c r="D469" i="2" s="1"/>
  <c r="J605" i="1"/>
  <c r="I605" i="1"/>
  <c r="G605" i="1"/>
  <c r="H593" i="1" s="1"/>
  <c r="D468" i="2" s="1"/>
  <c r="J604" i="1"/>
  <c r="I604" i="1"/>
  <c r="H604" i="1"/>
  <c r="G604" i="1"/>
  <c r="H592" i="1" s="1"/>
  <c r="D467" i="2" s="1"/>
  <c r="J603" i="1"/>
  <c r="I603" i="1"/>
  <c r="G603" i="1"/>
  <c r="H591" i="1" s="1"/>
  <c r="D466" i="2" s="1"/>
  <c r="J602" i="1"/>
  <c r="I602" i="1"/>
  <c r="H602" i="1"/>
  <c r="G602" i="1"/>
  <c r="H590" i="1" s="1"/>
  <c r="D465" i="2" s="1"/>
  <c r="J601" i="1"/>
  <c r="I601" i="1"/>
  <c r="G601" i="1"/>
  <c r="H589" i="1" s="1"/>
  <c r="D464" i="2" s="1"/>
  <c r="J600" i="1"/>
  <c r="I600" i="1"/>
  <c r="H600" i="1"/>
  <c r="G600" i="1"/>
  <c r="H588" i="1" s="1"/>
  <c r="D463" i="2" s="1"/>
  <c r="J599" i="1"/>
  <c r="I599" i="1"/>
  <c r="G599" i="1"/>
  <c r="H587" i="1" s="1"/>
  <c r="D462" i="2" s="1"/>
  <c r="J598" i="1"/>
  <c r="I598" i="1"/>
  <c r="G598" i="1"/>
  <c r="H586" i="1" s="1"/>
  <c r="D461" i="2" s="1"/>
  <c r="J597" i="1"/>
  <c r="I597" i="1"/>
  <c r="G597" i="1"/>
  <c r="H585" i="1" s="1"/>
  <c r="D460" i="2" s="1"/>
  <c r="J596" i="1"/>
  <c r="I596" i="1"/>
  <c r="G596" i="1"/>
  <c r="H584" i="1" s="1"/>
  <c r="D459" i="2" s="1"/>
  <c r="J595" i="1"/>
  <c r="I595" i="1"/>
  <c r="B470" i="2" s="1"/>
  <c r="G595" i="1"/>
  <c r="H583" i="1" s="1"/>
  <c r="D458" i="2" s="1"/>
  <c r="J594" i="1"/>
  <c r="I594" i="1"/>
  <c r="B469" i="2" s="1"/>
  <c r="G594" i="1"/>
  <c r="H582" i="1" s="1"/>
  <c r="D457" i="2" s="1"/>
  <c r="J593" i="1"/>
  <c r="I593" i="1"/>
  <c r="B468" i="2" s="1"/>
  <c r="G593" i="1"/>
  <c r="H581" i="1" s="1"/>
  <c r="D456" i="2" s="1"/>
  <c r="J592" i="1"/>
  <c r="I592" i="1"/>
  <c r="B467" i="2" s="1"/>
  <c r="G592" i="1"/>
  <c r="H580" i="1" s="1"/>
  <c r="D455" i="2" s="1"/>
  <c r="J591" i="1"/>
  <c r="I591" i="1"/>
  <c r="B466" i="2" s="1"/>
  <c r="G591" i="1"/>
  <c r="H579" i="1" s="1"/>
  <c r="D454" i="2" s="1"/>
  <c r="J590" i="1"/>
  <c r="I590" i="1"/>
  <c r="B465" i="2" s="1"/>
  <c r="G590" i="1"/>
  <c r="H578" i="1" s="1"/>
  <c r="D453" i="2" s="1"/>
  <c r="J589" i="1"/>
  <c r="I589" i="1"/>
  <c r="B464" i="2" s="1"/>
  <c r="G589" i="1"/>
  <c r="H577" i="1" s="1"/>
  <c r="D452" i="2" s="1"/>
  <c r="J588" i="1"/>
  <c r="I588" i="1"/>
  <c r="B463" i="2" s="1"/>
  <c r="G588" i="1"/>
  <c r="H576" i="1" s="1"/>
  <c r="D451" i="2" s="1"/>
  <c r="J587" i="1"/>
  <c r="I587" i="1"/>
  <c r="B462" i="2" s="1"/>
  <c r="G587" i="1"/>
  <c r="H575" i="1" s="1"/>
  <c r="D450" i="2" s="1"/>
  <c r="J586" i="1"/>
  <c r="I586" i="1"/>
  <c r="B461" i="2" s="1"/>
  <c r="G586" i="1"/>
  <c r="H574" i="1" s="1"/>
  <c r="D449" i="2" s="1"/>
  <c r="J585" i="1"/>
  <c r="I585" i="1"/>
  <c r="B460" i="2" s="1"/>
  <c r="G585" i="1"/>
  <c r="H573" i="1" s="1"/>
  <c r="D448" i="2" s="1"/>
  <c r="J584" i="1"/>
  <c r="I584" i="1"/>
  <c r="B459" i="2" s="1"/>
  <c r="G584" i="1"/>
  <c r="H572" i="1" s="1"/>
  <c r="D447" i="2" s="1"/>
  <c r="J583" i="1"/>
  <c r="I583" i="1"/>
  <c r="B458" i="2" s="1"/>
  <c r="G583" i="1"/>
  <c r="H571" i="1" s="1"/>
  <c r="D446" i="2" s="1"/>
  <c r="J582" i="1"/>
  <c r="I582" i="1"/>
  <c r="B457" i="2" s="1"/>
  <c r="G582" i="1"/>
  <c r="H570" i="1" s="1"/>
  <c r="D445" i="2" s="1"/>
  <c r="J581" i="1"/>
  <c r="I581" i="1"/>
  <c r="B456" i="2" s="1"/>
  <c r="G581" i="1"/>
  <c r="H569" i="1" s="1"/>
  <c r="D444" i="2" s="1"/>
  <c r="J580" i="1"/>
  <c r="I580" i="1"/>
  <c r="B455" i="2" s="1"/>
  <c r="G580" i="1"/>
  <c r="H568" i="1" s="1"/>
  <c r="D443" i="2" s="1"/>
  <c r="J579" i="1"/>
  <c r="I579" i="1"/>
  <c r="B454" i="2" s="1"/>
  <c r="G579" i="1"/>
  <c r="H567" i="1" s="1"/>
  <c r="D442" i="2" s="1"/>
  <c r="J578" i="1"/>
  <c r="I578" i="1"/>
  <c r="B453" i="2" s="1"/>
  <c r="G578" i="1"/>
  <c r="H566" i="1" s="1"/>
  <c r="D441" i="2" s="1"/>
  <c r="J577" i="1"/>
  <c r="I577" i="1"/>
  <c r="B452" i="2" s="1"/>
  <c r="G577" i="1"/>
  <c r="H565" i="1" s="1"/>
  <c r="D440" i="2" s="1"/>
  <c r="J576" i="1"/>
  <c r="I576" i="1"/>
  <c r="B451" i="2" s="1"/>
  <c r="G576" i="1"/>
  <c r="H564" i="1" s="1"/>
  <c r="D439" i="2" s="1"/>
  <c r="J575" i="1"/>
  <c r="I575" i="1"/>
  <c r="B450" i="2" s="1"/>
  <c r="G575" i="1"/>
  <c r="H563" i="1" s="1"/>
  <c r="D438" i="2" s="1"/>
  <c r="J574" i="1"/>
  <c r="I574" i="1"/>
  <c r="B449" i="2" s="1"/>
  <c r="G574" i="1"/>
  <c r="H562" i="1" s="1"/>
  <c r="D437" i="2" s="1"/>
  <c r="J573" i="1"/>
  <c r="I573" i="1"/>
  <c r="B448" i="2" s="1"/>
  <c r="G573" i="1"/>
  <c r="H561" i="1" s="1"/>
  <c r="D436" i="2" s="1"/>
  <c r="J572" i="1"/>
  <c r="I572" i="1"/>
  <c r="B447" i="2" s="1"/>
  <c r="G572" i="1"/>
  <c r="H560" i="1" s="1"/>
  <c r="D435" i="2" s="1"/>
  <c r="J571" i="1"/>
  <c r="I571" i="1"/>
  <c r="B446" i="2" s="1"/>
  <c r="G571" i="1"/>
  <c r="H559" i="1" s="1"/>
  <c r="D434" i="2" s="1"/>
  <c r="J570" i="1"/>
  <c r="I570" i="1"/>
  <c r="B445" i="2" s="1"/>
  <c r="G570" i="1"/>
  <c r="H558" i="1" s="1"/>
  <c r="D433" i="2" s="1"/>
  <c r="J569" i="1"/>
  <c r="I569" i="1"/>
  <c r="B444" i="2" s="1"/>
  <c r="G569" i="1"/>
  <c r="H557" i="1" s="1"/>
  <c r="D432" i="2" s="1"/>
  <c r="J568" i="1"/>
  <c r="I568" i="1"/>
  <c r="B443" i="2" s="1"/>
  <c r="G568" i="1"/>
  <c r="H556" i="1" s="1"/>
  <c r="D431" i="2" s="1"/>
  <c r="J567" i="1"/>
  <c r="I567" i="1"/>
  <c r="B442" i="2" s="1"/>
  <c r="G567" i="1"/>
  <c r="H555" i="1" s="1"/>
  <c r="D430" i="2" s="1"/>
  <c r="J566" i="1"/>
  <c r="I566" i="1"/>
  <c r="B441" i="2" s="1"/>
  <c r="G566" i="1"/>
  <c r="H554" i="1" s="1"/>
  <c r="D429" i="2" s="1"/>
  <c r="J565" i="1"/>
  <c r="I565" i="1"/>
  <c r="B440" i="2" s="1"/>
  <c r="G565" i="1"/>
  <c r="H553" i="1" s="1"/>
  <c r="D428" i="2" s="1"/>
  <c r="J564" i="1"/>
  <c r="I564" i="1"/>
  <c r="B439" i="2" s="1"/>
  <c r="G564" i="1"/>
  <c r="H552" i="1" s="1"/>
  <c r="D427" i="2" s="1"/>
  <c r="J563" i="1"/>
  <c r="I563" i="1"/>
  <c r="B438" i="2" s="1"/>
  <c r="G563" i="1"/>
  <c r="H551" i="1" s="1"/>
  <c r="D426" i="2" s="1"/>
  <c r="J562" i="1"/>
  <c r="I562" i="1"/>
  <c r="B437" i="2" s="1"/>
  <c r="G562" i="1"/>
  <c r="H550" i="1" s="1"/>
  <c r="D425" i="2" s="1"/>
  <c r="J561" i="1"/>
  <c r="I561" i="1"/>
  <c r="B436" i="2" s="1"/>
  <c r="G561" i="1"/>
  <c r="H549" i="1" s="1"/>
  <c r="D424" i="2" s="1"/>
  <c r="J560" i="1"/>
  <c r="I560" i="1"/>
  <c r="B435" i="2" s="1"/>
  <c r="G560" i="1"/>
  <c r="H548" i="1" s="1"/>
  <c r="D423" i="2" s="1"/>
  <c r="J559" i="1"/>
  <c r="I559" i="1"/>
  <c r="B434" i="2" s="1"/>
  <c r="G559" i="1"/>
  <c r="H547" i="1" s="1"/>
  <c r="D422" i="2" s="1"/>
  <c r="J558" i="1"/>
  <c r="I558" i="1"/>
  <c r="B433" i="2" s="1"/>
  <c r="G558" i="1"/>
  <c r="H546" i="1" s="1"/>
  <c r="D421" i="2" s="1"/>
  <c r="J557" i="1"/>
  <c r="I557" i="1"/>
  <c r="B432" i="2" s="1"/>
  <c r="G557" i="1"/>
  <c r="H545" i="1" s="1"/>
  <c r="D420" i="2" s="1"/>
  <c r="J556" i="1"/>
  <c r="I556" i="1"/>
  <c r="B431" i="2" s="1"/>
  <c r="G556" i="1"/>
  <c r="H544" i="1" s="1"/>
  <c r="D419" i="2" s="1"/>
  <c r="J555" i="1"/>
  <c r="I555" i="1"/>
  <c r="B430" i="2" s="1"/>
  <c r="G555" i="1"/>
  <c r="H543" i="1" s="1"/>
  <c r="D418" i="2" s="1"/>
  <c r="J554" i="1"/>
  <c r="I554" i="1"/>
  <c r="B429" i="2" s="1"/>
  <c r="G554" i="1"/>
  <c r="H542" i="1" s="1"/>
  <c r="D417" i="2" s="1"/>
  <c r="J553" i="1"/>
  <c r="I553" i="1"/>
  <c r="B428" i="2" s="1"/>
  <c r="G553" i="1"/>
  <c r="H541" i="1" s="1"/>
  <c r="D416" i="2" s="1"/>
  <c r="J552" i="1"/>
  <c r="I552" i="1"/>
  <c r="B427" i="2" s="1"/>
  <c r="G552" i="1"/>
  <c r="H540" i="1" s="1"/>
  <c r="D415" i="2" s="1"/>
  <c r="J551" i="1"/>
  <c r="I551" i="1"/>
  <c r="B426" i="2" s="1"/>
  <c r="G551" i="1"/>
  <c r="H539" i="1" s="1"/>
  <c r="D414" i="2" s="1"/>
  <c r="J550" i="1"/>
  <c r="I550" i="1"/>
  <c r="B425" i="2" s="1"/>
  <c r="G550" i="1"/>
  <c r="H538" i="1" s="1"/>
  <c r="D413" i="2" s="1"/>
  <c r="J549" i="1"/>
  <c r="I549" i="1"/>
  <c r="B424" i="2" s="1"/>
  <c r="G549" i="1"/>
  <c r="H537" i="1" s="1"/>
  <c r="D412" i="2" s="1"/>
  <c r="J548" i="1"/>
  <c r="I548" i="1"/>
  <c r="B423" i="2" s="1"/>
  <c r="G548" i="1"/>
  <c r="H536" i="1" s="1"/>
  <c r="D411" i="2" s="1"/>
  <c r="J547" i="1"/>
  <c r="I547" i="1"/>
  <c r="B422" i="2" s="1"/>
  <c r="G547" i="1"/>
  <c r="H535" i="1" s="1"/>
  <c r="D410" i="2" s="1"/>
  <c r="J546" i="1"/>
  <c r="I546" i="1"/>
  <c r="B421" i="2" s="1"/>
  <c r="G546" i="1"/>
  <c r="H534" i="1" s="1"/>
  <c r="D409" i="2" s="1"/>
  <c r="J545" i="1"/>
  <c r="I545" i="1"/>
  <c r="B420" i="2" s="1"/>
  <c r="G545" i="1"/>
  <c r="H533" i="1" s="1"/>
  <c r="D408" i="2" s="1"/>
  <c r="J544" i="1"/>
  <c r="I544" i="1"/>
  <c r="B419" i="2" s="1"/>
  <c r="G544" i="1"/>
  <c r="H532" i="1" s="1"/>
  <c r="D407" i="2" s="1"/>
  <c r="J543" i="1"/>
  <c r="I543" i="1"/>
  <c r="B418" i="2" s="1"/>
  <c r="G543" i="1"/>
  <c r="H531" i="1" s="1"/>
  <c r="D406" i="2" s="1"/>
  <c r="J542" i="1"/>
  <c r="I542" i="1"/>
  <c r="B417" i="2" s="1"/>
  <c r="G542" i="1"/>
  <c r="H530" i="1" s="1"/>
  <c r="D405" i="2" s="1"/>
  <c r="J541" i="1"/>
  <c r="I541" i="1"/>
  <c r="B416" i="2" s="1"/>
  <c r="G541" i="1"/>
  <c r="H529" i="1" s="1"/>
  <c r="D404" i="2" s="1"/>
  <c r="J540" i="1"/>
  <c r="I540" i="1"/>
  <c r="B415" i="2" s="1"/>
  <c r="G540" i="1"/>
  <c r="H528" i="1" s="1"/>
  <c r="D403" i="2" s="1"/>
  <c r="J539" i="1"/>
  <c r="I539" i="1"/>
  <c r="B414" i="2" s="1"/>
  <c r="G539" i="1"/>
  <c r="H527" i="1" s="1"/>
  <c r="D402" i="2" s="1"/>
  <c r="J538" i="1"/>
  <c r="I538" i="1"/>
  <c r="B413" i="2" s="1"/>
  <c r="G538" i="1"/>
  <c r="H526" i="1" s="1"/>
  <c r="D401" i="2" s="1"/>
  <c r="J537" i="1"/>
  <c r="I537" i="1"/>
  <c r="B412" i="2" s="1"/>
  <c r="G537" i="1"/>
  <c r="H525" i="1" s="1"/>
  <c r="D400" i="2" s="1"/>
  <c r="J536" i="1"/>
  <c r="I536" i="1"/>
  <c r="B411" i="2" s="1"/>
  <c r="G536" i="1"/>
  <c r="H524" i="1" s="1"/>
  <c r="D399" i="2" s="1"/>
  <c r="J535" i="1"/>
  <c r="I535" i="1"/>
  <c r="B410" i="2" s="1"/>
  <c r="G535" i="1"/>
  <c r="H523" i="1" s="1"/>
  <c r="D398" i="2" s="1"/>
  <c r="J534" i="1"/>
  <c r="I534" i="1"/>
  <c r="B409" i="2" s="1"/>
  <c r="G534" i="1"/>
  <c r="H522" i="1" s="1"/>
  <c r="D397" i="2" s="1"/>
  <c r="J533" i="1"/>
  <c r="I533" i="1"/>
  <c r="B408" i="2" s="1"/>
  <c r="G533" i="1"/>
  <c r="H521" i="1" s="1"/>
  <c r="D396" i="2" s="1"/>
  <c r="J532" i="1"/>
  <c r="I532" i="1"/>
  <c r="B407" i="2" s="1"/>
  <c r="G532" i="1"/>
  <c r="H520" i="1" s="1"/>
  <c r="D395" i="2" s="1"/>
  <c r="J531" i="1"/>
  <c r="I531" i="1"/>
  <c r="B406" i="2" s="1"/>
  <c r="G531" i="1"/>
  <c r="H519" i="1" s="1"/>
  <c r="D394" i="2" s="1"/>
  <c r="J530" i="1"/>
  <c r="I530" i="1"/>
  <c r="B405" i="2" s="1"/>
  <c r="G530" i="1"/>
  <c r="H518" i="1" s="1"/>
  <c r="D393" i="2" s="1"/>
  <c r="J529" i="1"/>
  <c r="I529" i="1"/>
  <c r="B404" i="2" s="1"/>
  <c r="G529" i="1"/>
  <c r="H517" i="1" s="1"/>
  <c r="D392" i="2" s="1"/>
  <c r="J528" i="1"/>
  <c r="I528" i="1"/>
  <c r="B403" i="2" s="1"/>
  <c r="G528" i="1"/>
  <c r="H516" i="1" s="1"/>
  <c r="D391" i="2" s="1"/>
  <c r="J527" i="1"/>
  <c r="I527" i="1"/>
  <c r="B402" i="2" s="1"/>
  <c r="G527" i="1"/>
  <c r="H515" i="1" s="1"/>
  <c r="D390" i="2" s="1"/>
  <c r="J526" i="1"/>
  <c r="I526" i="1"/>
  <c r="B401" i="2" s="1"/>
  <c r="G526" i="1"/>
  <c r="H514" i="1" s="1"/>
  <c r="D389" i="2" s="1"/>
  <c r="J525" i="1"/>
  <c r="I525" i="1"/>
  <c r="B400" i="2" s="1"/>
  <c r="G525" i="1"/>
  <c r="H513" i="1" s="1"/>
  <c r="D388" i="2" s="1"/>
  <c r="J524" i="1"/>
  <c r="I524" i="1"/>
  <c r="B399" i="2" s="1"/>
  <c r="G524" i="1"/>
  <c r="H512" i="1" s="1"/>
  <c r="D387" i="2" s="1"/>
  <c r="J523" i="1"/>
  <c r="I523" i="1"/>
  <c r="B398" i="2" s="1"/>
  <c r="G523" i="1"/>
  <c r="H511" i="1" s="1"/>
  <c r="D386" i="2" s="1"/>
  <c r="J522" i="1"/>
  <c r="I522" i="1"/>
  <c r="B397" i="2" s="1"/>
  <c r="G522" i="1"/>
  <c r="H510" i="1" s="1"/>
  <c r="D385" i="2" s="1"/>
  <c r="J521" i="1"/>
  <c r="I521" i="1"/>
  <c r="B396" i="2" s="1"/>
  <c r="G521" i="1"/>
  <c r="H509" i="1" s="1"/>
  <c r="D384" i="2" s="1"/>
  <c r="J520" i="1"/>
  <c r="I520" i="1"/>
  <c r="B395" i="2" s="1"/>
  <c r="G520" i="1"/>
  <c r="H508" i="1" s="1"/>
  <c r="D383" i="2" s="1"/>
  <c r="J519" i="1"/>
  <c r="I519" i="1"/>
  <c r="B394" i="2" s="1"/>
  <c r="G519" i="1"/>
  <c r="H507" i="1" s="1"/>
  <c r="D382" i="2" s="1"/>
  <c r="J518" i="1"/>
  <c r="I518" i="1"/>
  <c r="B393" i="2" s="1"/>
  <c r="G518" i="1"/>
  <c r="H506" i="1" s="1"/>
  <c r="D381" i="2" s="1"/>
  <c r="J517" i="1"/>
  <c r="I517" i="1"/>
  <c r="B392" i="2" s="1"/>
  <c r="G517" i="1"/>
  <c r="H505" i="1" s="1"/>
  <c r="D380" i="2" s="1"/>
  <c r="J516" i="1"/>
  <c r="I516" i="1"/>
  <c r="B391" i="2" s="1"/>
  <c r="G516" i="1"/>
  <c r="H504" i="1" s="1"/>
  <c r="D379" i="2" s="1"/>
  <c r="J515" i="1"/>
  <c r="I515" i="1"/>
  <c r="B390" i="2" s="1"/>
  <c r="G515" i="1"/>
  <c r="H503" i="1" s="1"/>
  <c r="D378" i="2" s="1"/>
  <c r="J514" i="1"/>
  <c r="I514" i="1"/>
  <c r="B389" i="2" s="1"/>
  <c r="G514" i="1"/>
  <c r="H502" i="1" s="1"/>
  <c r="D377" i="2" s="1"/>
  <c r="J513" i="1"/>
  <c r="I513" i="1"/>
  <c r="B388" i="2" s="1"/>
  <c r="G513" i="1"/>
  <c r="H501" i="1" s="1"/>
  <c r="D376" i="2" s="1"/>
  <c r="J512" i="1"/>
  <c r="I512" i="1"/>
  <c r="B387" i="2" s="1"/>
  <c r="G512" i="1"/>
  <c r="H500" i="1" s="1"/>
  <c r="D375" i="2" s="1"/>
  <c r="J511" i="1"/>
  <c r="I511" i="1"/>
  <c r="B386" i="2" s="1"/>
  <c r="G511" i="1"/>
  <c r="H499" i="1" s="1"/>
  <c r="D374" i="2" s="1"/>
  <c r="J510" i="1"/>
  <c r="I510" i="1"/>
  <c r="B385" i="2" s="1"/>
  <c r="G510" i="1"/>
  <c r="H498" i="1" s="1"/>
  <c r="D373" i="2" s="1"/>
  <c r="J509" i="1"/>
  <c r="I509" i="1"/>
  <c r="B384" i="2" s="1"/>
  <c r="G509" i="1"/>
  <c r="H497" i="1" s="1"/>
  <c r="D372" i="2" s="1"/>
  <c r="J508" i="1"/>
  <c r="I508" i="1"/>
  <c r="B383" i="2" s="1"/>
  <c r="G508" i="1"/>
  <c r="H496" i="1" s="1"/>
  <c r="D371" i="2" s="1"/>
  <c r="J507" i="1"/>
  <c r="I507" i="1"/>
  <c r="B382" i="2" s="1"/>
  <c r="G507" i="1"/>
  <c r="H495" i="1" s="1"/>
  <c r="D370" i="2" s="1"/>
  <c r="J506" i="1"/>
  <c r="I506" i="1"/>
  <c r="B381" i="2" s="1"/>
  <c r="G506" i="1"/>
  <c r="H494" i="1" s="1"/>
  <c r="D369" i="2" s="1"/>
  <c r="J505" i="1"/>
  <c r="I505" i="1"/>
  <c r="B380" i="2" s="1"/>
  <c r="G505" i="1"/>
  <c r="H493" i="1" s="1"/>
  <c r="D368" i="2" s="1"/>
  <c r="J504" i="1"/>
  <c r="I504" i="1"/>
  <c r="B379" i="2" s="1"/>
  <c r="G504" i="1"/>
  <c r="H492" i="1" s="1"/>
  <c r="D367" i="2" s="1"/>
  <c r="J503" i="1"/>
  <c r="I503" i="1"/>
  <c r="B378" i="2" s="1"/>
  <c r="G503" i="1"/>
  <c r="H491" i="1" s="1"/>
  <c r="D366" i="2" s="1"/>
  <c r="J502" i="1"/>
  <c r="I502" i="1"/>
  <c r="B377" i="2" s="1"/>
  <c r="G502" i="1"/>
  <c r="H490" i="1" s="1"/>
  <c r="D365" i="2" s="1"/>
  <c r="J501" i="1"/>
  <c r="I501" i="1"/>
  <c r="B376" i="2" s="1"/>
  <c r="G501" i="1"/>
  <c r="H489" i="1" s="1"/>
  <c r="D364" i="2" s="1"/>
  <c r="J500" i="1"/>
  <c r="I500" i="1"/>
  <c r="B375" i="2" s="1"/>
  <c r="G500" i="1"/>
  <c r="H488" i="1" s="1"/>
  <c r="D363" i="2" s="1"/>
  <c r="J499" i="1"/>
  <c r="I499" i="1"/>
  <c r="B374" i="2" s="1"/>
  <c r="G499" i="1"/>
  <c r="H487" i="1" s="1"/>
  <c r="D362" i="2" s="1"/>
  <c r="J498" i="1"/>
  <c r="I498" i="1"/>
  <c r="B373" i="2" s="1"/>
  <c r="G498" i="1"/>
  <c r="H486" i="1" s="1"/>
  <c r="D361" i="2" s="1"/>
  <c r="J497" i="1"/>
  <c r="I497" i="1"/>
  <c r="B372" i="2" s="1"/>
  <c r="G497" i="1"/>
  <c r="H485" i="1" s="1"/>
  <c r="D360" i="2" s="1"/>
  <c r="J496" i="1"/>
  <c r="I496" i="1"/>
  <c r="B371" i="2" s="1"/>
  <c r="G496" i="1"/>
  <c r="H484" i="1" s="1"/>
  <c r="D359" i="2" s="1"/>
  <c r="J495" i="1"/>
  <c r="I495" i="1"/>
  <c r="B370" i="2" s="1"/>
  <c r="G495" i="1"/>
  <c r="H483" i="1" s="1"/>
  <c r="D358" i="2" s="1"/>
  <c r="J494" i="1"/>
  <c r="I494" i="1"/>
  <c r="B369" i="2" s="1"/>
  <c r="G494" i="1"/>
  <c r="H482" i="1" s="1"/>
  <c r="D357" i="2" s="1"/>
  <c r="J493" i="1"/>
  <c r="I493" i="1"/>
  <c r="B368" i="2" s="1"/>
  <c r="G493" i="1"/>
  <c r="H481" i="1" s="1"/>
  <c r="D356" i="2" s="1"/>
  <c r="J492" i="1"/>
  <c r="I492" i="1"/>
  <c r="B367" i="2" s="1"/>
  <c r="G492" i="1"/>
  <c r="H480" i="1" s="1"/>
  <c r="D355" i="2" s="1"/>
  <c r="J491" i="1"/>
  <c r="I491" i="1"/>
  <c r="B366" i="2" s="1"/>
  <c r="G491" i="1"/>
  <c r="H479" i="1" s="1"/>
  <c r="D354" i="2" s="1"/>
  <c r="J490" i="1"/>
  <c r="I490" i="1"/>
  <c r="B365" i="2" s="1"/>
  <c r="G490" i="1"/>
  <c r="H478" i="1" s="1"/>
  <c r="D353" i="2" s="1"/>
  <c r="J489" i="1"/>
  <c r="I489" i="1"/>
  <c r="B364" i="2" s="1"/>
  <c r="G489" i="1"/>
  <c r="H477" i="1" s="1"/>
  <c r="D352" i="2" s="1"/>
  <c r="J488" i="1"/>
  <c r="I488" i="1"/>
  <c r="B363" i="2" s="1"/>
  <c r="G488" i="1"/>
  <c r="H476" i="1" s="1"/>
  <c r="D351" i="2" s="1"/>
  <c r="J487" i="1"/>
  <c r="I487" i="1"/>
  <c r="B362" i="2" s="1"/>
  <c r="G487" i="1"/>
  <c r="H475" i="1" s="1"/>
  <c r="D350" i="2" s="1"/>
  <c r="J486" i="1"/>
  <c r="I486" i="1"/>
  <c r="B361" i="2" s="1"/>
  <c r="G486" i="1"/>
  <c r="H474" i="1" s="1"/>
  <c r="D349" i="2" s="1"/>
  <c r="J485" i="1"/>
  <c r="I485" i="1"/>
  <c r="B360" i="2" s="1"/>
  <c r="G485" i="1"/>
  <c r="H473" i="1" s="1"/>
  <c r="D348" i="2" s="1"/>
  <c r="J484" i="1"/>
  <c r="I484" i="1"/>
  <c r="B359" i="2" s="1"/>
  <c r="G484" i="1"/>
  <c r="H472" i="1" s="1"/>
  <c r="D347" i="2" s="1"/>
  <c r="J483" i="1"/>
  <c r="I483" i="1"/>
  <c r="B358" i="2" s="1"/>
  <c r="G483" i="1"/>
  <c r="H471" i="1" s="1"/>
  <c r="D346" i="2" s="1"/>
  <c r="J482" i="1"/>
  <c r="I482" i="1"/>
  <c r="B357" i="2" s="1"/>
  <c r="G482" i="1"/>
  <c r="H470" i="1" s="1"/>
  <c r="D345" i="2" s="1"/>
  <c r="J481" i="1"/>
  <c r="I481" i="1"/>
  <c r="B356" i="2" s="1"/>
  <c r="G481" i="1"/>
  <c r="H469" i="1" s="1"/>
  <c r="D344" i="2" s="1"/>
  <c r="J480" i="1"/>
  <c r="I480" i="1"/>
  <c r="B355" i="2" s="1"/>
  <c r="G480" i="1"/>
  <c r="H468" i="1" s="1"/>
  <c r="D343" i="2" s="1"/>
  <c r="J479" i="1"/>
  <c r="I479" i="1"/>
  <c r="B354" i="2" s="1"/>
  <c r="G479" i="1"/>
  <c r="H467" i="1" s="1"/>
  <c r="D342" i="2" s="1"/>
  <c r="J478" i="1"/>
  <c r="I478" i="1"/>
  <c r="B353" i="2" s="1"/>
  <c r="G478" i="1"/>
  <c r="H466" i="1" s="1"/>
  <c r="D341" i="2" s="1"/>
  <c r="J477" i="1"/>
  <c r="I477" i="1"/>
  <c r="B352" i="2" s="1"/>
  <c r="G477" i="1"/>
  <c r="H465" i="1" s="1"/>
  <c r="D340" i="2" s="1"/>
  <c r="J476" i="1"/>
  <c r="I476" i="1"/>
  <c r="B351" i="2" s="1"/>
  <c r="G476" i="1"/>
  <c r="H464" i="1" s="1"/>
  <c r="D339" i="2" s="1"/>
  <c r="J475" i="1"/>
  <c r="I475" i="1"/>
  <c r="B350" i="2" s="1"/>
  <c r="G475" i="1"/>
  <c r="H463" i="1" s="1"/>
  <c r="D338" i="2" s="1"/>
  <c r="J474" i="1"/>
  <c r="I474" i="1"/>
  <c r="B349" i="2" s="1"/>
  <c r="G474" i="1"/>
  <c r="H462" i="1" s="1"/>
  <c r="D337" i="2" s="1"/>
  <c r="J473" i="1"/>
  <c r="I473" i="1"/>
  <c r="B348" i="2" s="1"/>
  <c r="G473" i="1"/>
  <c r="H461" i="1" s="1"/>
  <c r="D336" i="2" s="1"/>
  <c r="J472" i="1"/>
  <c r="I472" i="1"/>
  <c r="B347" i="2" s="1"/>
  <c r="G472" i="1"/>
  <c r="H460" i="1" s="1"/>
  <c r="D335" i="2" s="1"/>
  <c r="J471" i="1"/>
  <c r="I471" i="1"/>
  <c r="B346" i="2" s="1"/>
  <c r="G471" i="1"/>
  <c r="H459" i="1" s="1"/>
  <c r="D334" i="2" s="1"/>
  <c r="J470" i="1"/>
  <c r="I470" i="1"/>
  <c r="B345" i="2" s="1"/>
  <c r="G470" i="1"/>
  <c r="H458" i="1" s="1"/>
  <c r="D333" i="2" s="1"/>
  <c r="J469" i="1"/>
  <c r="I469" i="1"/>
  <c r="B344" i="2" s="1"/>
  <c r="G469" i="1"/>
  <c r="H457" i="1" s="1"/>
  <c r="D332" i="2" s="1"/>
  <c r="J468" i="1"/>
  <c r="I468" i="1"/>
  <c r="B343" i="2" s="1"/>
  <c r="G468" i="1"/>
  <c r="H456" i="1" s="1"/>
  <c r="D331" i="2" s="1"/>
  <c r="J467" i="1"/>
  <c r="I467" i="1"/>
  <c r="B342" i="2" s="1"/>
  <c r="G467" i="1"/>
  <c r="H455" i="1" s="1"/>
  <c r="D330" i="2" s="1"/>
  <c r="J466" i="1"/>
  <c r="I466" i="1"/>
  <c r="B341" i="2" s="1"/>
  <c r="G466" i="1"/>
  <c r="H454" i="1" s="1"/>
  <c r="D329" i="2" s="1"/>
  <c r="J465" i="1"/>
  <c r="I465" i="1"/>
  <c r="B340" i="2" s="1"/>
  <c r="G465" i="1"/>
  <c r="H453" i="1" s="1"/>
  <c r="D328" i="2" s="1"/>
  <c r="J464" i="1"/>
  <c r="I464" i="1"/>
  <c r="B339" i="2" s="1"/>
  <c r="G464" i="1"/>
  <c r="H452" i="1" s="1"/>
  <c r="D327" i="2" s="1"/>
  <c r="J463" i="1"/>
  <c r="I463" i="1"/>
  <c r="B338" i="2" s="1"/>
  <c r="G463" i="1"/>
  <c r="H451" i="1" s="1"/>
  <c r="D326" i="2" s="1"/>
  <c r="J462" i="1"/>
  <c r="I462" i="1"/>
  <c r="B337" i="2" s="1"/>
  <c r="G462" i="1"/>
  <c r="H450" i="1" s="1"/>
  <c r="D325" i="2" s="1"/>
  <c r="J461" i="1"/>
  <c r="I461" i="1"/>
  <c r="B336" i="2" s="1"/>
  <c r="G461" i="1"/>
  <c r="H449" i="1" s="1"/>
  <c r="D324" i="2" s="1"/>
  <c r="J460" i="1"/>
  <c r="I460" i="1"/>
  <c r="B335" i="2" s="1"/>
  <c r="G460" i="1"/>
  <c r="H448" i="1" s="1"/>
  <c r="D323" i="2" s="1"/>
  <c r="J459" i="1"/>
  <c r="I459" i="1"/>
  <c r="B334" i="2" s="1"/>
  <c r="G459" i="1"/>
  <c r="H447" i="1" s="1"/>
  <c r="D322" i="2" s="1"/>
  <c r="J458" i="1"/>
  <c r="I458" i="1"/>
  <c r="B333" i="2" s="1"/>
  <c r="G458" i="1"/>
  <c r="H446" i="1" s="1"/>
  <c r="D321" i="2" s="1"/>
  <c r="J457" i="1"/>
  <c r="I457" i="1"/>
  <c r="B332" i="2" s="1"/>
  <c r="G457" i="1"/>
  <c r="H445" i="1" s="1"/>
  <c r="D320" i="2" s="1"/>
  <c r="J456" i="1"/>
  <c r="I456" i="1"/>
  <c r="B331" i="2" s="1"/>
  <c r="G456" i="1"/>
  <c r="H444" i="1" s="1"/>
  <c r="D319" i="2" s="1"/>
  <c r="J455" i="1"/>
  <c r="I455" i="1"/>
  <c r="B330" i="2" s="1"/>
  <c r="G455" i="1"/>
  <c r="H443" i="1" s="1"/>
  <c r="D318" i="2" s="1"/>
  <c r="J454" i="1"/>
  <c r="I454" i="1"/>
  <c r="B329" i="2" s="1"/>
  <c r="G454" i="1"/>
  <c r="H442" i="1" s="1"/>
  <c r="D317" i="2" s="1"/>
  <c r="J453" i="1"/>
  <c r="I453" i="1"/>
  <c r="B328" i="2" s="1"/>
  <c r="G453" i="1"/>
  <c r="H441" i="1" s="1"/>
  <c r="D316" i="2" s="1"/>
  <c r="J452" i="1"/>
  <c r="I452" i="1"/>
  <c r="B327" i="2" s="1"/>
  <c r="G452" i="1"/>
  <c r="H440" i="1" s="1"/>
  <c r="D315" i="2" s="1"/>
  <c r="J451" i="1"/>
  <c r="I451" i="1"/>
  <c r="B326" i="2" s="1"/>
  <c r="G451" i="1"/>
  <c r="H439" i="1" s="1"/>
  <c r="D314" i="2" s="1"/>
  <c r="J450" i="1"/>
  <c r="I450" i="1"/>
  <c r="B325" i="2" s="1"/>
  <c r="G450" i="1"/>
  <c r="H438" i="1" s="1"/>
  <c r="D313" i="2" s="1"/>
  <c r="J449" i="1"/>
  <c r="I449" i="1"/>
  <c r="B324" i="2" s="1"/>
  <c r="G449" i="1"/>
  <c r="H437" i="1" s="1"/>
  <c r="D312" i="2" s="1"/>
  <c r="J448" i="1"/>
  <c r="I448" i="1"/>
  <c r="B323" i="2" s="1"/>
  <c r="G448" i="1"/>
  <c r="H436" i="1" s="1"/>
  <c r="D311" i="2" s="1"/>
  <c r="J447" i="1"/>
  <c r="I447" i="1"/>
  <c r="B322" i="2" s="1"/>
  <c r="G447" i="1"/>
  <c r="H435" i="1" s="1"/>
  <c r="D310" i="2" s="1"/>
  <c r="J446" i="1"/>
  <c r="I446" i="1"/>
  <c r="B321" i="2" s="1"/>
  <c r="G446" i="1"/>
  <c r="H434" i="1" s="1"/>
  <c r="D309" i="2" s="1"/>
  <c r="J445" i="1"/>
  <c r="I445" i="1"/>
  <c r="B320" i="2" s="1"/>
  <c r="G445" i="1"/>
  <c r="H433" i="1" s="1"/>
  <c r="D308" i="2" s="1"/>
  <c r="J444" i="1"/>
  <c r="I444" i="1"/>
  <c r="B319" i="2" s="1"/>
  <c r="G444" i="1"/>
  <c r="H432" i="1" s="1"/>
  <c r="D307" i="2" s="1"/>
  <c r="J443" i="1"/>
  <c r="I443" i="1"/>
  <c r="B318" i="2" s="1"/>
  <c r="G443" i="1"/>
  <c r="H431" i="1" s="1"/>
  <c r="D306" i="2" s="1"/>
  <c r="J442" i="1"/>
  <c r="I442" i="1"/>
  <c r="B317" i="2" s="1"/>
  <c r="G442" i="1"/>
  <c r="H430" i="1" s="1"/>
  <c r="D305" i="2" s="1"/>
  <c r="J441" i="1"/>
  <c r="I441" i="1"/>
  <c r="B316" i="2" s="1"/>
  <c r="G441" i="1"/>
  <c r="H429" i="1" s="1"/>
  <c r="D304" i="2" s="1"/>
  <c r="J440" i="1"/>
  <c r="I440" i="1"/>
  <c r="B315" i="2" s="1"/>
  <c r="G440" i="1"/>
  <c r="H428" i="1" s="1"/>
  <c r="D303" i="2" s="1"/>
  <c r="J439" i="1"/>
  <c r="I439" i="1"/>
  <c r="B314" i="2" s="1"/>
  <c r="G439" i="1"/>
  <c r="H427" i="1" s="1"/>
  <c r="D302" i="2" s="1"/>
  <c r="J438" i="1"/>
  <c r="I438" i="1"/>
  <c r="B313" i="2" s="1"/>
  <c r="G438" i="1"/>
  <c r="H426" i="1" s="1"/>
  <c r="D301" i="2" s="1"/>
  <c r="J437" i="1"/>
  <c r="I437" i="1"/>
  <c r="B312" i="2" s="1"/>
  <c r="G437" i="1"/>
  <c r="H425" i="1" s="1"/>
  <c r="D300" i="2" s="1"/>
  <c r="J436" i="1"/>
  <c r="I436" i="1"/>
  <c r="B311" i="2" s="1"/>
  <c r="G436" i="1"/>
  <c r="H424" i="1" s="1"/>
  <c r="D299" i="2" s="1"/>
  <c r="J435" i="1"/>
  <c r="I435" i="1"/>
  <c r="B310" i="2" s="1"/>
  <c r="G435" i="1"/>
  <c r="H423" i="1" s="1"/>
  <c r="D298" i="2" s="1"/>
  <c r="J434" i="1"/>
  <c r="I434" i="1"/>
  <c r="B309" i="2" s="1"/>
  <c r="G434" i="1"/>
  <c r="H422" i="1" s="1"/>
  <c r="D297" i="2" s="1"/>
  <c r="J433" i="1"/>
  <c r="I433" i="1"/>
  <c r="B308" i="2" s="1"/>
  <c r="G433" i="1"/>
  <c r="H421" i="1" s="1"/>
  <c r="D296" i="2" s="1"/>
  <c r="J432" i="1"/>
  <c r="I432" i="1"/>
  <c r="B307" i="2" s="1"/>
  <c r="G432" i="1"/>
  <c r="H420" i="1" s="1"/>
  <c r="D295" i="2" s="1"/>
  <c r="J431" i="1"/>
  <c r="I431" i="1"/>
  <c r="B306" i="2" s="1"/>
  <c r="G431" i="1"/>
  <c r="H419" i="1" s="1"/>
  <c r="D294" i="2" s="1"/>
  <c r="J430" i="1"/>
  <c r="I430" i="1"/>
  <c r="B305" i="2" s="1"/>
  <c r="G430" i="1"/>
  <c r="H418" i="1" s="1"/>
  <c r="D293" i="2" s="1"/>
  <c r="J429" i="1"/>
  <c r="I429" i="1"/>
  <c r="B304" i="2" s="1"/>
  <c r="G429" i="1"/>
  <c r="H417" i="1" s="1"/>
  <c r="D292" i="2" s="1"/>
  <c r="J428" i="1"/>
  <c r="I428" i="1"/>
  <c r="B303" i="2" s="1"/>
  <c r="G428" i="1"/>
  <c r="H416" i="1" s="1"/>
  <c r="D291" i="2" s="1"/>
  <c r="J427" i="1"/>
  <c r="I427" i="1"/>
  <c r="B302" i="2" s="1"/>
  <c r="G427" i="1"/>
  <c r="H415" i="1" s="1"/>
  <c r="D290" i="2" s="1"/>
  <c r="J426" i="1"/>
  <c r="I426" i="1"/>
  <c r="B301" i="2" s="1"/>
  <c r="G426" i="1"/>
  <c r="H414" i="1" s="1"/>
  <c r="D289" i="2" s="1"/>
  <c r="J425" i="1"/>
  <c r="I425" i="1"/>
  <c r="B300" i="2" s="1"/>
  <c r="G425" i="1"/>
  <c r="H413" i="1" s="1"/>
  <c r="D288" i="2" s="1"/>
  <c r="J424" i="1"/>
  <c r="I424" i="1"/>
  <c r="B299" i="2" s="1"/>
  <c r="G424" i="1"/>
  <c r="H412" i="1" s="1"/>
  <c r="D287" i="2" s="1"/>
  <c r="J423" i="1"/>
  <c r="I423" i="1"/>
  <c r="B298" i="2" s="1"/>
  <c r="G423" i="1"/>
  <c r="H411" i="1" s="1"/>
  <c r="D286" i="2" s="1"/>
  <c r="J422" i="1"/>
  <c r="I422" i="1"/>
  <c r="B297" i="2" s="1"/>
  <c r="G422" i="1"/>
  <c r="H410" i="1" s="1"/>
  <c r="D285" i="2" s="1"/>
  <c r="J421" i="1"/>
  <c r="I421" i="1"/>
  <c r="B296" i="2" s="1"/>
  <c r="G421" i="1"/>
  <c r="H409" i="1" s="1"/>
  <c r="D284" i="2" s="1"/>
  <c r="J420" i="1"/>
  <c r="I420" i="1"/>
  <c r="B295" i="2" s="1"/>
  <c r="G420" i="1"/>
  <c r="H408" i="1" s="1"/>
  <c r="D283" i="2" s="1"/>
  <c r="J419" i="1"/>
  <c r="I419" i="1"/>
  <c r="B294" i="2" s="1"/>
  <c r="G419" i="1"/>
  <c r="H407" i="1" s="1"/>
  <c r="D282" i="2" s="1"/>
  <c r="J418" i="1"/>
  <c r="I418" i="1"/>
  <c r="B293" i="2" s="1"/>
  <c r="G418" i="1"/>
  <c r="H406" i="1" s="1"/>
  <c r="D281" i="2" s="1"/>
  <c r="J417" i="1"/>
  <c r="I417" i="1"/>
  <c r="B292" i="2" s="1"/>
  <c r="G417" i="1"/>
  <c r="H405" i="1" s="1"/>
  <c r="D280" i="2" s="1"/>
  <c r="J416" i="1"/>
  <c r="I416" i="1"/>
  <c r="B291" i="2" s="1"/>
  <c r="G416" i="1"/>
  <c r="H404" i="1" s="1"/>
  <c r="D279" i="2" s="1"/>
  <c r="J415" i="1"/>
  <c r="I415" i="1"/>
  <c r="B290" i="2" s="1"/>
  <c r="G415" i="1"/>
  <c r="H403" i="1" s="1"/>
  <c r="D278" i="2" s="1"/>
  <c r="J414" i="1"/>
  <c r="I414" i="1"/>
  <c r="B289" i="2" s="1"/>
  <c r="G414" i="1"/>
  <c r="H402" i="1" s="1"/>
  <c r="D277" i="2" s="1"/>
  <c r="J413" i="1"/>
  <c r="I413" i="1"/>
  <c r="B288" i="2" s="1"/>
  <c r="G413" i="1"/>
  <c r="H401" i="1" s="1"/>
  <c r="D276" i="2" s="1"/>
  <c r="J412" i="1"/>
  <c r="I412" i="1"/>
  <c r="B287" i="2" s="1"/>
  <c r="G412" i="1"/>
  <c r="H400" i="1" s="1"/>
  <c r="D275" i="2" s="1"/>
  <c r="J411" i="1"/>
  <c r="I411" i="1"/>
  <c r="B286" i="2" s="1"/>
  <c r="G411" i="1"/>
  <c r="H399" i="1" s="1"/>
  <c r="D274" i="2" s="1"/>
  <c r="J410" i="1"/>
  <c r="I410" i="1"/>
  <c r="B285" i="2" s="1"/>
  <c r="G410" i="1"/>
  <c r="H398" i="1" s="1"/>
  <c r="D273" i="2" s="1"/>
  <c r="J409" i="1"/>
  <c r="I409" i="1"/>
  <c r="B284" i="2" s="1"/>
  <c r="G409" i="1"/>
  <c r="H397" i="1" s="1"/>
  <c r="D272" i="2" s="1"/>
  <c r="J408" i="1"/>
  <c r="I408" i="1"/>
  <c r="B283" i="2" s="1"/>
  <c r="G408" i="1"/>
  <c r="H396" i="1" s="1"/>
  <c r="D271" i="2" s="1"/>
  <c r="J407" i="1"/>
  <c r="I407" i="1"/>
  <c r="B282" i="2" s="1"/>
  <c r="G407" i="1"/>
  <c r="H395" i="1" s="1"/>
  <c r="D270" i="2" s="1"/>
  <c r="J406" i="1"/>
  <c r="I406" i="1"/>
  <c r="B281" i="2" s="1"/>
  <c r="G406" i="1"/>
  <c r="H394" i="1" s="1"/>
  <c r="D269" i="2" s="1"/>
  <c r="J405" i="1"/>
  <c r="I405" i="1"/>
  <c r="B280" i="2" s="1"/>
  <c r="G405" i="1"/>
  <c r="H393" i="1" s="1"/>
  <c r="D268" i="2" s="1"/>
  <c r="J404" i="1"/>
  <c r="I404" i="1"/>
  <c r="B279" i="2" s="1"/>
  <c r="G404" i="1"/>
  <c r="H392" i="1" s="1"/>
  <c r="D267" i="2" s="1"/>
  <c r="J403" i="1"/>
  <c r="I403" i="1"/>
  <c r="B278" i="2" s="1"/>
  <c r="G403" i="1"/>
  <c r="H391" i="1" s="1"/>
  <c r="D266" i="2" s="1"/>
  <c r="J402" i="1"/>
  <c r="I402" i="1"/>
  <c r="B277" i="2" s="1"/>
  <c r="G402" i="1"/>
  <c r="H390" i="1" s="1"/>
  <c r="D265" i="2" s="1"/>
  <c r="J401" i="1"/>
  <c r="I401" i="1"/>
  <c r="B276" i="2" s="1"/>
  <c r="G401" i="1"/>
  <c r="H389" i="1" s="1"/>
  <c r="D264" i="2" s="1"/>
  <c r="J400" i="1"/>
  <c r="I400" i="1"/>
  <c r="B275" i="2" s="1"/>
  <c r="G400" i="1"/>
  <c r="H388" i="1" s="1"/>
  <c r="D263" i="2" s="1"/>
  <c r="J399" i="1"/>
  <c r="I399" i="1"/>
  <c r="B274" i="2" s="1"/>
  <c r="G399" i="1"/>
  <c r="H387" i="1" s="1"/>
  <c r="D262" i="2" s="1"/>
  <c r="J398" i="1"/>
  <c r="I398" i="1"/>
  <c r="B273" i="2" s="1"/>
  <c r="G398" i="1"/>
  <c r="H386" i="1" s="1"/>
  <c r="D261" i="2" s="1"/>
  <c r="J397" i="1"/>
  <c r="I397" i="1"/>
  <c r="B272" i="2" s="1"/>
  <c r="G397" i="1"/>
  <c r="H385" i="1" s="1"/>
  <c r="D260" i="2" s="1"/>
  <c r="J396" i="1"/>
  <c r="I396" i="1"/>
  <c r="B271" i="2" s="1"/>
  <c r="G396" i="1"/>
  <c r="H384" i="1" s="1"/>
  <c r="D259" i="2" s="1"/>
  <c r="J395" i="1"/>
  <c r="I395" i="1"/>
  <c r="B270" i="2" s="1"/>
  <c r="G395" i="1"/>
  <c r="H383" i="1" s="1"/>
  <c r="D258" i="2" s="1"/>
  <c r="J394" i="1"/>
  <c r="I394" i="1"/>
  <c r="B269" i="2" s="1"/>
  <c r="G394" i="1"/>
  <c r="H382" i="1" s="1"/>
  <c r="D257" i="2" s="1"/>
  <c r="J393" i="1"/>
  <c r="I393" i="1"/>
  <c r="B268" i="2" s="1"/>
  <c r="G393" i="1"/>
  <c r="H381" i="1" s="1"/>
  <c r="D256" i="2" s="1"/>
  <c r="J392" i="1"/>
  <c r="I392" i="1"/>
  <c r="B267" i="2" s="1"/>
  <c r="G392" i="1"/>
  <c r="H380" i="1" s="1"/>
  <c r="D255" i="2" s="1"/>
  <c r="J391" i="1"/>
  <c r="I391" i="1"/>
  <c r="B266" i="2" s="1"/>
  <c r="G391" i="1"/>
  <c r="H379" i="1" s="1"/>
  <c r="D254" i="2" s="1"/>
  <c r="J390" i="1"/>
  <c r="I390" i="1"/>
  <c r="B265" i="2" s="1"/>
  <c r="G390" i="1"/>
  <c r="H378" i="1" s="1"/>
  <c r="D253" i="2" s="1"/>
  <c r="J389" i="1"/>
  <c r="I389" i="1"/>
  <c r="B264" i="2" s="1"/>
  <c r="G389" i="1"/>
  <c r="H377" i="1" s="1"/>
  <c r="D252" i="2" s="1"/>
  <c r="J388" i="1"/>
  <c r="I388" i="1"/>
  <c r="B263" i="2" s="1"/>
  <c r="G388" i="1"/>
  <c r="H376" i="1" s="1"/>
  <c r="D251" i="2" s="1"/>
  <c r="J387" i="1"/>
  <c r="I387" i="1"/>
  <c r="B262" i="2" s="1"/>
  <c r="G387" i="1"/>
  <c r="H375" i="1" s="1"/>
  <c r="D250" i="2" s="1"/>
  <c r="J386" i="1"/>
  <c r="I386" i="1"/>
  <c r="B261" i="2" s="1"/>
  <c r="G386" i="1"/>
  <c r="H374" i="1" s="1"/>
  <c r="D249" i="2" s="1"/>
  <c r="J385" i="1"/>
  <c r="I385" i="1"/>
  <c r="B260" i="2" s="1"/>
  <c r="G385" i="1"/>
  <c r="H373" i="1" s="1"/>
  <c r="D248" i="2" s="1"/>
  <c r="J384" i="1"/>
  <c r="I384" i="1"/>
  <c r="B259" i="2" s="1"/>
  <c r="G384" i="1"/>
  <c r="H372" i="1" s="1"/>
  <c r="D247" i="2" s="1"/>
  <c r="J383" i="1"/>
  <c r="I383" i="1"/>
  <c r="B258" i="2" s="1"/>
  <c r="G383" i="1"/>
  <c r="H371" i="1" s="1"/>
  <c r="D246" i="2" s="1"/>
  <c r="J382" i="1"/>
  <c r="I382" i="1"/>
  <c r="B257" i="2" s="1"/>
  <c r="G382" i="1"/>
  <c r="H370" i="1" s="1"/>
  <c r="D245" i="2" s="1"/>
  <c r="J381" i="1"/>
  <c r="I381" i="1"/>
  <c r="B256" i="2" s="1"/>
  <c r="G381" i="1"/>
  <c r="H369" i="1" s="1"/>
  <c r="D244" i="2" s="1"/>
  <c r="J380" i="1"/>
  <c r="I380" i="1"/>
  <c r="B255" i="2" s="1"/>
  <c r="G380" i="1"/>
  <c r="H368" i="1" s="1"/>
  <c r="D243" i="2" s="1"/>
  <c r="J379" i="1"/>
  <c r="I379" i="1"/>
  <c r="B254" i="2" s="1"/>
  <c r="G379" i="1"/>
  <c r="H367" i="1" s="1"/>
  <c r="D242" i="2" s="1"/>
  <c r="J378" i="1"/>
  <c r="I378" i="1"/>
  <c r="B253" i="2" s="1"/>
  <c r="G378" i="1"/>
  <c r="H366" i="1" s="1"/>
  <c r="D241" i="2" s="1"/>
  <c r="J377" i="1"/>
  <c r="I377" i="1"/>
  <c r="B252" i="2" s="1"/>
  <c r="G377" i="1"/>
  <c r="H365" i="1" s="1"/>
  <c r="D240" i="2" s="1"/>
  <c r="J376" i="1"/>
  <c r="I376" i="1"/>
  <c r="B251" i="2" s="1"/>
  <c r="G376" i="1"/>
  <c r="H364" i="1" s="1"/>
  <c r="D239" i="2" s="1"/>
  <c r="J375" i="1"/>
  <c r="I375" i="1"/>
  <c r="B250" i="2" s="1"/>
  <c r="G375" i="1"/>
  <c r="H363" i="1" s="1"/>
  <c r="D238" i="2" s="1"/>
  <c r="J374" i="1"/>
  <c r="I374" i="1"/>
  <c r="B249" i="2" s="1"/>
  <c r="G374" i="1"/>
  <c r="H362" i="1" s="1"/>
  <c r="D237" i="2" s="1"/>
  <c r="J373" i="1"/>
  <c r="I373" i="1"/>
  <c r="B248" i="2" s="1"/>
  <c r="G373" i="1"/>
  <c r="H361" i="1" s="1"/>
  <c r="D236" i="2" s="1"/>
  <c r="J372" i="1"/>
  <c r="I372" i="1"/>
  <c r="B247" i="2" s="1"/>
  <c r="G372" i="1"/>
  <c r="H360" i="1" s="1"/>
  <c r="D235" i="2" s="1"/>
  <c r="J371" i="1"/>
  <c r="I371" i="1"/>
  <c r="B246" i="2" s="1"/>
  <c r="G371" i="1"/>
  <c r="H359" i="1" s="1"/>
  <c r="D234" i="2" s="1"/>
  <c r="J370" i="1"/>
  <c r="I370" i="1"/>
  <c r="B245" i="2" s="1"/>
  <c r="G370" i="1"/>
  <c r="H358" i="1" s="1"/>
  <c r="D233" i="2" s="1"/>
  <c r="J369" i="1"/>
  <c r="I369" i="1"/>
  <c r="B244" i="2" s="1"/>
  <c r="G369" i="1"/>
  <c r="H357" i="1" s="1"/>
  <c r="D232" i="2" s="1"/>
  <c r="J368" i="1"/>
  <c r="I368" i="1"/>
  <c r="B243" i="2" s="1"/>
  <c r="G368" i="1"/>
  <c r="H356" i="1" s="1"/>
  <c r="D231" i="2" s="1"/>
  <c r="J367" i="1"/>
  <c r="I367" i="1"/>
  <c r="B242" i="2" s="1"/>
  <c r="G367" i="1"/>
  <c r="H355" i="1" s="1"/>
  <c r="D230" i="2" s="1"/>
  <c r="J366" i="1"/>
  <c r="I366" i="1"/>
  <c r="B241" i="2" s="1"/>
  <c r="G366" i="1"/>
  <c r="H354" i="1" s="1"/>
  <c r="D229" i="2" s="1"/>
  <c r="J365" i="1"/>
  <c r="I365" i="1"/>
  <c r="B240" i="2" s="1"/>
  <c r="G365" i="1"/>
  <c r="H353" i="1" s="1"/>
  <c r="D228" i="2" s="1"/>
  <c r="J364" i="1"/>
  <c r="I364" i="1"/>
  <c r="B239" i="2" s="1"/>
  <c r="G364" i="1"/>
  <c r="H352" i="1" s="1"/>
  <c r="D227" i="2" s="1"/>
  <c r="J363" i="1"/>
  <c r="I363" i="1"/>
  <c r="B238" i="2" s="1"/>
  <c r="G363" i="1"/>
  <c r="H351" i="1" s="1"/>
  <c r="D226" i="2" s="1"/>
  <c r="J362" i="1"/>
  <c r="I362" i="1"/>
  <c r="B237" i="2" s="1"/>
  <c r="G362" i="1"/>
  <c r="H350" i="1" s="1"/>
  <c r="D225" i="2" s="1"/>
  <c r="J361" i="1"/>
  <c r="I361" i="1"/>
  <c r="B236" i="2" s="1"/>
  <c r="G361" i="1"/>
  <c r="H349" i="1" s="1"/>
  <c r="D224" i="2" s="1"/>
  <c r="J360" i="1"/>
  <c r="I360" i="1"/>
  <c r="B235" i="2" s="1"/>
  <c r="G360" i="1"/>
  <c r="H348" i="1" s="1"/>
  <c r="D223" i="2" s="1"/>
  <c r="J359" i="1"/>
  <c r="I359" i="1"/>
  <c r="B234" i="2" s="1"/>
  <c r="G359" i="1"/>
  <c r="H347" i="1" s="1"/>
  <c r="D222" i="2" s="1"/>
  <c r="J358" i="1"/>
  <c r="I358" i="1"/>
  <c r="B233" i="2" s="1"/>
  <c r="G358" i="1"/>
  <c r="H346" i="1" s="1"/>
  <c r="D221" i="2" s="1"/>
  <c r="J357" i="1"/>
  <c r="I357" i="1"/>
  <c r="B232" i="2" s="1"/>
  <c r="G357" i="1"/>
  <c r="H345" i="1" s="1"/>
  <c r="D220" i="2" s="1"/>
  <c r="J356" i="1"/>
  <c r="I356" i="1"/>
  <c r="B231" i="2" s="1"/>
  <c r="G356" i="1"/>
  <c r="H344" i="1" s="1"/>
  <c r="D219" i="2" s="1"/>
  <c r="J355" i="1"/>
  <c r="I355" i="1"/>
  <c r="B230" i="2" s="1"/>
  <c r="G355" i="1"/>
  <c r="H343" i="1" s="1"/>
  <c r="D218" i="2" s="1"/>
  <c r="J354" i="1"/>
  <c r="I354" i="1"/>
  <c r="B229" i="2" s="1"/>
  <c r="G354" i="1"/>
  <c r="H342" i="1" s="1"/>
  <c r="D217" i="2" s="1"/>
  <c r="J353" i="1"/>
  <c r="I353" i="1"/>
  <c r="B228" i="2" s="1"/>
  <c r="G353" i="1"/>
  <c r="H341" i="1" s="1"/>
  <c r="D216" i="2" s="1"/>
  <c r="J352" i="1"/>
  <c r="I352" i="1"/>
  <c r="B227" i="2" s="1"/>
  <c r="G352" i="1"/>
  <c r="H340" i="1" s="1"/>
  <c r="D215" i="2" s="1"/>
  <c r="J351" i="1"/>
  <c r="I351" i="1"/>
  <c r="B226" i="2" s="1"/>
  <c r="G351" i="1"/>
  <c r="H339" i="1" s="1"/>
  <c r="D214" i="2" s="1"/>
  <c r="J350" i="1"/>
  <c r="I350" i="1"/>
  <c r="B225" i="2" s="1"/>
  <c r="G350" i="1"/>
  <c r="H338" i="1" s="1"/>
  <c r="D213" i="2" s="1"/>
  <c r="J349" i="1"/>
  <c r="I349" i="1"/>
  <c r="B224" i="2" s="1"/>
  <c r="G349" i="1"/>
  <c r="H337" i="1" s="1"/>
  <c r="D212" i="2" s="1"/>
  <c r="J348" i="1"/>
  <c r="I348" i="1"/>
  <c r="B223" i="2" s="1"/>
  <c r="G348" i="1"/>
  <c r="H336" i="1" s="1"/>
  <c r="D211" i="2" s="1"/>
  <c r="J347" i="1"/>
  <c r="I347" i="1"/>
  <c r="B222" i="2" s="1"/>
  <c r="G347" i="1"/>
  <c r="H335" i="1" s="1"/>
  <c r="D210" i="2" s="1"/>
  <c r="J346" i="1"/>
  <c r="I346" i="1"/>
  <c r="B221" i="2" s="1"/>
  <c r="G346" i="1"/>
  <c r="H334" i="1" s="1"/>
  <c r="D209" i="2" s="1"/>
  <c r="J345" i="1"/>
  <c r="I345" i="1"/>
  <c r="B220" i="2" s="1"/>
  <c r="G345" i="1"/>
  <c r="H333" i="1" s="1"/>
  <c r="D208" i="2" s="1"/>
  <c r="J344" i="1"/>
  <c r="I344" i="1"/>
  <c r="B219" i="2" s="1"/>
  <c r="G344" i="1"/>
  <c r="H332" i="1" s="1"/>
  <c r="D207" i="2" s="1"/>
  <c r="J343" i="1"/>
  <c r="I343" i="1"/>
  <c r="B218" i="2" s="1"/>
  <c r="G343" i="1"/>
  <c r="H331" i="1" s="1"/>
  <c r="D206" i="2" s="1"/>
  <c r="J342" i="1"/>
  <c r="I342" i="1"/>
  <c r="B217" i="2" s="1"/>
  <c r="G342" i="1"/>
  <c r="H330" i="1" s="1"/>
  <c r="D205" i="2" s="1"/>
  <c r="J341" i="1"/>
  <c r="I341" i="1"/>
  <c r="B216" i="2" s="1"/>
  <c r="G341" i="1"/>
  <c r="H329" i="1" s="1"/>
  <c r="D204" i="2" s="1"/>
  <c r="J340" i="1"/>
  <c r="I340" i="1"/>
  <c r="B215" i="2" s="1"/>
  <c r="G340" i="1"/>
  <c r="H328" i="1" s="1"/>
  <c r="D203" i="2" s="1"/>
  <c r="J339" i="1"/>
  <c r="I339" i="1"/>
  <c r="B214" i="2" s="1"/>
  <c r="G339" i="1"/>
  <c r="H327" i="1" s="1"/>
  <c r="D202" i="2" s="1"/>
  <c r="J338" i="1"/>
  <c r="I338" i="1"/>
  <c r="B213" i="2" s="1"/>
  <c r="G338" i="1"/>
  <c r="H326" i="1" s="1"/>
  <c r="D201" i="2" s="1"/>
  <c r="J337" i="1"/>
  <c r="I337" i="1"/>
  <c r="B212" i="2" s="1"/>
  <c r="G337" i="1"/>
  <c r="H325" i="1" s="1"/>
  <c r="D200" i="2" s="1"/>
  <c r="J336" i="1"/>
  <c r="I336" i="1"/>
  <c r="B211" i="2" s="1"/>
  <c r="G336" i="1"/>
  <c r="H324" i="1" s="1"/>
  <c r="D199" i="2" s="1"/>
  <c r="J335" i="1"/>
  <c r="I335" i="1"/>
  <c r="B210" i="2" s="1"/>
  <c r="G335" i="1"/>
  <c r="H323" i="1" s="1"/>
  <c r="D198" i="2" s="1"/>
  <c r="J334" i="1"/>
  <c r="I334" i="1"/>
  <c r="B209" i="2" s="1"/>
  <c r="G334" i="1"/>
  <c r="H322" i="1" s="1"/>
  <c r="D197" i="2" s="1"/>
  <c r="J333" i="1"/>
  <c r="I333" i="1"/>
  <c r="B208" i="2" s="1"/>
  <c r="G333" i="1"/>
  <c r="H321" i="1" s="1"/>
  <c r="D196" i="2" s="1"/>
  <c r="J332" i="1"/>
  <c r="I332" i="1"/>
  <c r="B207" i="2" s="1"/>
  <c r="G332" i="1"/>
  <c r="H320" i="1" s="1"/>
  <c r="D195" i="2" s="1"/>
  <c r="J331" i="1"/>
  <c r="I331" i="1"/>
  <c r="B206" i="2" s="1"/>
  <c r="G331" i="1"/>
  <c r="H319" i="1" s="1"/>
  <c r="D194" i="2" s="1"/>
  <c r="J330" i="1"/>
  <c r="I330" i="1"/>
  <c r="B205" i="2" s="1"/>
  <c r="G330" i="1"/>
  <c r="H318" i="1" s="1"/>
  <c r="D193" i="2" s="1"/>
  <c r="J329" i="1"/>
  <c r="I329" i="1"/>
  <c r="B204" i="2" s="1"/>
  <c r="G329" i="1"/>
  <c r="H317" i="1" s="1"/>
  <c r="D192" i="2" s="1"/>
  <c r="J328" i="1"/>
  <c r="I328" i="1"/>
  <c r="B203" i="2" s="1"/>
  <c r="G328" i="1"/>
  <c r="H316" i="1" s="1"/>
  <c r="D191" i="2" s="1"/>
  <c r="J327" i="1"/>
  <c r="I327" i="1"/>
  <c r="B202" i="2" s="1"/>
  <c r="G327" i="1"/>
  <c r="H315" i="1" s="1"/>
  <c r="D190" i="2" s="1"/>
  <c r="J326" i="1"/>
  <c r="I326" i="1"/>
  <c r="B201" i="2" s="1"/>
  <c r="G326" i="1"/>
  <c r="H314" i="1" s="1"/>
  <c r="D189" i="2" s="1"/>
  <c r="J325" i="1"/>
  <c r="I325" i="1"/>
  <c r="B200" i="2" s="1"/>
  <c r="G325" i="1"/>
  <c r="H313" i="1" s="1"/>
  <c r="D188" i="2" s="1"/>
  <c r="J324" i="1"/>
  <c r="I324" i="1"/>
  <c r="B199" i="2" s="1"/>
  <c r="G324" i="1"/>
  <c r="H312" i="1" s="1"/>
  <c r="D187" i="2" s="1"/>
  <c r="J323" i="1"/>
  <c r="I323" i="1"/>
  <c r="B198" i="2" s="1"/>
  <c r="G323" i="1"/>
  <c r="H311" i="1" s="1"/>
  <c r="D186" i="2" s="1"/>
  <c r="J322" i="1"/>
  <c r="I322" i="1"/>
  <c r="B197" i="2" s="1"/>
  <c r="G322" i="1"/>
  <c r="H310" i="1" s="1"/>
  <c r="D185" i="2" s="1"/>
  <c r="J321" i="1"/>
  <c r="I321" i="1"/>
  <c r="B196" i="2" s="1"/>
  <c r="G321" i="1"/>
  <c r="H309" i="1" s="1"/>
  <c r="D184" i="2" s="1"/>
  <c r="J320" i="1"/>
  <c r="I320" i="1"/>
  <c r="B195" i="2" s="1"/>
  <c r="G320" i="1"/>
  <c r="H308" i="1" s="1"/>
  <c r="D183" i="2" s="1"/>
  <c r="J319" i="1"/>
  <c r="I319" i="1"/>
  <c r="B194" i="2" s="1"/>
  <c r="G319" i="1"/>
  <c r="H307" i="1" s="1"/>
  <c r="D182" i="2" s="1"/>
  <c r="J318" i="1"/>
  <c r="I318" i="1"/>
  <c r="B193" i="2" s="1"/>
  <c r="G318" i="1"/>
  <c r="H306" i="1" s="1"/>
  <c r="D181" i="2" s="1"/>
  <c r="J317" i="1"/>
  <c r="I317" i="1"/>
  <c r="B192" i="2" s="1"/>
  <c r="G317" i="1"/>
  <c r="H305" i="1" s="1"/>
  <c r="D180" i="2" s="1"/>
  <c r="J316" i="1"/>
  <c r="I316" i="1"/>
  <c r="B191" i="2" s="1"/>
  <c r="G316" i="1"/>
  <c r="H304" i="1" s="1"/>
  <c r="D179" i="2" s="1"/>
  <c r="J315" i="1"/>
  <c r="I315" i="1"/>
  <c r="B190" i="2" s="1"/>
  <c r="G315" i="1"/>
  <c r="H303" i="1" s="1"/>
  <c r="D178" i="2" s="1"/>
  <c r="J314" i="1"/>
  <c r="I314" i="1"/>
  <c r="B189" i="2" s="1"/>
  <c r="G314" i="1"/>
  <c r="H302" i="1" s="1"/>
  <c r="D177" i="2" s="1"/>
  <c r="J313" i="1"/>
  <c r="I313" i="1"/>
  <c r="B188" i="2" s="1"/>
  <c r="G313" i="1"/>
  <c r="H301" i="1" s="1"/>
  <c r="D176" i="2" s="1"/>
  <c r="J312" i="1"/>
  <c r="I312" i="1"/>
  <c r="B187" i="2" s="1"/>
  <c r="G312" i="1"/>
  <c r="H300" i="1" s="1"/>
  <c r="D175" i="2" s="1"/>
  <c r="J311" i="1"/>
  <c r="I311" i="1"/>
  <c r="B186" i="2" s="1"/>
  <c r="G311" i="1"/>
  <c r="H299" i="1" s="1"/>
  <c r="D174" i="2" s="1"/>
  <c r="J310" i="1"/>
  <c r="I310" i="1"/>
  <c r="B185" i="2" s="1"/>
  <c r="G310" i="1"/>
  <c r="H298" i="1" s="1"/>
  <c r="D173" i="2" s="1"/>
  <c r="J309" i="1"/>
  <c r="I309" i="1"/>
  <c r="B184" i="2" s="1"/>
  <c r="G309" i="1"/>
  <c r="H297" i="1" s="1"/>
  <c r="D172" i="2" s="1"/>
  <c r="J308" i="1"/>
  <c r="I308" i="1"/>
  <c r="B183" i="2" s="1"/>
  <c r="G308" i="1"/>
  <c r="H296" i="1" s="1"/>
  <c r="D171" i="2" s="1"/>
  <c r="J307" i="1"/>
  <c r="I307" i="1"/>
  <c r="B182" i="2" s="1"/>
  <c r="G307" i="1"/>
  <c r="H295" i="1" s="1"/>
  <c r="D170" i="2" s="1"/>
  <c r="J306" i="1"/>
  <c r="I306" i="1"/>
  <c r="B181" i="2" s="1"/>
  <c r="G306" i="1"/>
  <c r="H294" i="1" s="1"/>
  <c r="D169" i="2" s="1"/>
  <c r="J305" i="1"/>
  <c r="I305" i="1"/>
  <c r="B180" i="2" s="1"/>
  <c r="G305" i="1"/>
  <c r="H293" i="1" s="1"/>
  <c r="D168" i="2" s="1"/>
  <c r="J304" i="1"/>
  <c r="I304" i="1"/>
  <c r="B179" i="2" s="1"/>
  <c r="G304" i="1"/>
  <c r="H292" i="1" s="1"/>
  <c r="D167" i="2" s="1"/>
  <c r="J303" i="1"/>
  <c r="I303" i="1"/>
  <c r="B178" i="2" s="1"/>
  <c r="G303" i="1"/>
  <c r="H291" i="1" s="1"/>
  <c r="D166" i="2" s="1"/>
  <c r="J302" i="1"/>
  <c r="I302" i="1"/>
  <c r="B177" i="2" s="1"/>
  <c r="G302" i="1"/>
  <c r="H290" i="1" s="1"/>
  <c r="D165" i="2" s="1"/>
  <c r="J301" i="1"/>
  <c r="I301" i="1"/>
  <c r="B176" i="2" s="1"/>
  <c r="G301" i="1"/>
  <c r="H289" i="1" s="1"/>
  <c r="D164" i="2" s="1"/>
  <c r="J300" i="1"/>
  <c r="I300" i="1"/>
  <c r="B175" i="2" s="1"/>
  <c r="G300" i="1"/>
  <c r="H288" i="1" s="1"/>
  <c r="D163" i="2" s="1"/>
  <c r="J299" i="1"/>
  <c r="I299" i="1"/>
  <c r="B174" i="2" s="1"/>
  <c r="G299" i="1"/>
  <c r="H287" i="1" s="1"/>
  <c r="D162" i="2" s="1"/>
  <c r="J298" i="1"/>
  <c r="I298" i="1"/>
  <c r="B173" i="2" s="1"/>
  <c r="G298" i="1"/>
  <c r="H286" i="1" s="1"/>
  <c r="D161" i="2" s="1"/>
  <c r="J297" i="1"/>
  <c r="I297" i="1"/>
  <c r="B172" i="2" s="1"/>
  <c r="G297" i="1"/>
  <c r="H285" i="1" s="1"/>
  <c r="D160" i="2" s="1"/>
  <c r="J296" i="1"/>
  <c r="I296" i="1"/>
  <c r="B171" i="2" s="1"/>
  <c r="G296" i="1"/>
  <c r="H284" i="1" s="1"/>
  <c r="D159" i="2" s="1"/>
  <c r="J295" i="1"/>
  <c r="I295" i="1"/>
  <c r="B170" i="2" s="1"/>
  <c r="G295" i="1"/>
  <c r="H283" i="1" s="1"/>
  <c r="D158" i="2" s="1"/>
  <c r="J294" i="1"/>
  <c r="I294" i="1"/>
  <c r="B169" i="2" s="1"/>
  <c r="G294" i="1"/>
  <c r="H282" i="1" s="1"/>
  <c r="D157" i="2" s="1"/>
  <c r="J293" i="1"/>
  <c r="I293" i="1"/>
  <c r="B168" i="2" s="1"/>
  <c r="G293" i="1"/>
  <c r="H281" i="1" s="1"/>
  <c r="D156" i="2" s="1"/>
  <c r="J292" i="1"/>
  <c r="I292" i="1"/>
  <c r="B167" i="2" s="1"/>
  <c r="G292" i="1"/>
  <c r="H280" i="1" s="1"/>
  <c r="D155" i="2" s="1"/>
  <c r="J291" i="1"/>
  <c r="I291" i="1"/>
  <c r="B166" i="2" s="1"/>
  <c r="G291" i="1"/>
  <c r="H279" i="1" s="1"/>
  <c r="D154" i="2" s="1"/>
  <c r="J290" i="1"/>
  <c r="I290" i="1"/>
  <c r="B165" i="2" s="1"/>
  <c r="G290" i="1"/>
  <c r="H278" i="1" s="1"/>
  <c r="D153" i="2" s="1"/>
  <c r="J289" i="1"/>
  <c r="I289" i="1"/>
  <c r="B164" i="2" s="1"/>
  <c r="G289" i="1"/>
  <c r="H277" i="1" s="1"/>
  <c r="D152" i="2" s="1"/>
  <c r="J288" i="1"/>
  <c r="I288" i="1"/>
  <c r="B163" i="2" s="1"/>
  <c r="G288" i="1"/>
  <c r="H276" i="1" s="1"/>
  <c r="D151" i="2" s="1"/>
  <c r="J287" i="1"/>
  <c r="I287" i="1"/>
  <c r="B162" i="2" s="1"/>
  <c r="G287" i="1"/>
  <c r="H275" i="1" s="1"/>
  <c r="D150" i="2" s="1"/>
  <c r="J286" i="1"/>
  <c r="I286" i="1"/>
  <c r="B161" i="2" s="1"/>
  <c r="G286" i="1"/>
  <c r="H274" i="1" s="1"/>
  <c r="D149" i="2" s="1"/>
  <c r="J285" i="1"/>
  <c r="I285" i="1"/>
  <c r="B160" i="2" s="1"/>
  <c r="G285" i="1"/>
  <c r="H273" i="1" s="1"/>
  <c r="D148" i="2" s="1"/>
  <c r="J284" i="1"/>
  <c r="I284" i="1"/>
  <c r="B159" i="2" s="1"/>
  <c r="G284" i="1"/>
  <c r="H272" i="1" s="1"/>
  <c r="D147" i="2" s="1"/>
  <c r="J283" i="1"/>
  <c r="I283" i="1"/>
  <c r="B158" i="2" s="1"/>
  <c r="G283" i="1"/>
  <c r="H271" i="1" s="1"/>
  <c r="D146" i="2" s="1"/>
  <c r="J282" i="1"/>
  <c r="I282" i="1"/>
  <c r="B157" i="2" s="1"/>
  <c r="G282" i="1"/>
  <c r="H270" i="1" s="1"/>
  <c r="D145" i="2" s="1"/>
  <c r="J281" i="1"/>
  <c r="I281" i="1"/>
  <c r="B156" i="2" s="1"/>
  <c r="G281" i="1"/>
  <c r="H269" i="1" s="1"/>
  <c r="D144" i="2" s="1"/>
  <c r="J280" i="1"/>
  <c r="I280" i="1"/>
  <c r="B155" i="2" s="1"/>
  <c r="G280" i="1"/>
  <c r="H268" i="1" s="1"/>
  <c r="D143" i="2" s="1"/>
  <c r="J279" i="1"/>
  <c r="I279" i="1"/>
  <c r="B154" i="2" s="1"/>
  <c r="G279" i="1"/>
  <c r="H267" i="1" s="1"/>
  <c r="D142" i="2" s="1"/>
  <c r="J278" i="1"/>
  <c r="I278" i="1"/>
  <c r="B153" i="2" s="1"/>
  <c r="G278" i="1"/>
  <c r="H266" i="1" s="1"/>
  <c r="D141" i="2" s="1"/>
  <c r="J277" i="1"/>
  <c r="I277" i="1"/>
  <c r="B152" i="2" s="1"/>
  <c r="G277" i="1"/>
  <c r="H265" i="1" s="1"/>
  <c r="D140" i="2" s="1"/>
  <c r="J276" i="1"/>
  <c r="I276" i="1"/>
  <c r="B151" i="2" s="1"/>
  <c r="G276" i="1"/>
  <c r="H264" i="1" s="1"/>
  <c r="D139" i="2" s="1"/>
  <c r="J275" i="1"/>
  <c r="I275" i="1"/>
  <c r="B150" i="2" s="1"/>
  <c r="G275" i="1"/>
  <c r="H263" i="1" s="1"/>
  <c r="D138" i="2" s="1"/>
  <c r="J274" i="1"/>
  <c r="I274" i="1"/>
  <c r="B149" i="2" s="1"/>
  <c r="G274" i="1"/>
  <c r="H262" i="1" s="1"/>
  <c r="D137" i="2" s="1"/>
  <c r="J273" i="1"/>
  <c r="I273" i="1"/>
  <c r="B148" i="2" s="1"/>
  <c r="G273" i="1"/>
  <c r="H261" i="1" s="1"/>
  <c r="D136" i="2" s="1"/>
  <c r="J272" i="1"/>
  <c r="I272" i="1"/>
  <c r="B147" i="2" s="1"/>
  <c r="G272" i="1"/>
  <c r="H260" i="1" s="1"/>
  <c r="D135" i="2" s="1"/>
  <c r="J271" i="1"/>
  <c r="I271" i="1"/>
  <c r="B146" i="2" s="1"/>
  <c r="G271" i="1"/>
  <c r="H259" i="1" s="1"/>
  <c r="D134" i="2" s="1"/>
  <c r="J270" i="1"/>
  <c r="I270" i="1"/>
  <c r="B145" i="2" s="1"/>
  <c r="G270" i="1"/>
  <c r="H258" i="1" s="1"/>
  <c r="D133" i="2" s="1"/>
  <c r="J269" i="1"/>
  <c r="I269" i="1"/>
  <c r="B144" i="2" s="1"/>
  <c r="G269" i="1"/>
  <c r="H257" i="1" s="1"/>
  <c r="D132" i="2" s="1"/>
  <c r="J268" i="1"/>
  <c r="I268" i="1"/>
  <c r="B143" i="2" s="1"/>
  <c r="G268" i="1"/>
  <c r="H256" i="1" s="1"/>
  <c r="D131" i="2" s="1"/>
  <c r="J267" i="1"/>
  <c r="I267" i="1"/>
  <c r="B142" i="2" s="1"/>
  <c r="G267" i="1"/>
  <c r="H255" i="1" s="1"/>
  <c r="D130" i="2" s="1"/>
  <c r="J266" i="1"/>
  <c r="I266" i="1"/>
  <c r="B141" i="2" s="1"/>
  <c r="G266" i="1"/>
  <c r="H254" i="1" s="1"/>
  <c r="D129" i="2" s="1"/>
  <c r="J265" i="1"/>
  <c r="I265" i="1"/>
  <c r="B140" i="2" s="1"/>
  <c r="G265" i="1"/>
  <c r="H253" i="1" s="1"/>
  <c r="D128" i="2" s="1"/>
  <c r="J264" i="1"/>
  <c r="I264" i="1"/>
  <c r="B139" i="2" s="1"/>
  <c r="G264" i="1"/>
  <c r="H252" i="1" s="1"/>
  <c r="D127" i="2" s="1"/>
  <c r="J263" i="1"/>
  <c r="I263" i="1"/>
  <c r="B138" i="2" s="1"/>
  <c r="G263" i="1"/>
  <c r="H251" i="1" s="1"/>
  <c r="D126" i="2" s="1"/>
  <c r="J262" i="1"/>
  <c r="I262" i="1"/>
  <c r="B137" i="2" s="1"/>
  <c r="G262" i="1"/>
  <c r="H250" i="1" s="1"/>
  <c r="D125" i="2" s="1"/>
  <c r="J261" i="1"/>
  <c r="I261" i="1"/>
  <c r="B136" i="2" s="1"/>
  <c r="G261" i="1"/>
  <c r="H249" i="1" s="1"/>
  <c r="D124" i="2" s="1"/>
  <c r="J260" i="1"/>
  <c r="I260" i="1"/>
  <c r="B135" i="2" s="1"/>
  <c r="G260" i="1"/>
  <c r="H248" i="1" s="1"/>
  <c r="D123" i="2" s="1"/>
  <c r="J259" i="1"/>
  <c r="I259" i="1"/>
  <c r="B134" i="2" s="1"/>
  <c r="G259" i="1"/>
  <c r="H247" i="1" s="1"/>
  <c r="D122" i="2" s="1"/>
  <c r="J258" i="1"/>
  <c r="I258" i="1"/>
  <c r="B133" i="2" s="1"/>
  <c r="G258" i="1"/>
  <c r="H246" i="1" s="1"/>
  <c r="D121" i="2" s="1"/>
  <c r="J257" i="1"/>
  <c r="I257" i="1"/>
  <c r="B132" i="2" s="1"/>
  <c r="G257" i="1"/>
  <c r="H245" i="1" s="1"/>
  <c r="D120" i="2" s="1"/>
  <c r="J256" i="1"/>
  <c r="I256" i="1"/>
  <c r="B131" i="2" s="1"/>
  <c r="G256" i="1"/>
  <c r="H244" i="1" s="1"/>
  <c r="D119" i="2" s="1"/>
  <c r="J255" i="1"/>
  <c r="I255" i="1"/>
  <c r="B130" i="2" s="1"/>
  <c r="G255" i="1"/>
  <c r="H243" i="1" s="1"/>
  <c r="D118" i="2" s="1"/>
  <c r="J254" i="1"/>
  <c r="I254" i="1"/>
  <c r="B129" i="2" s="1"/>
  <c r="G254" i="1"/>
  <c r="H242" i="1" s="1"/>
  <c r="D117" i="2" s="1"/>
  <c r="J253" i="1"/>
  <c r="I253" i="1"/>
  <c r="B128" i="2" s="1"/>
  <c r="G253" i="1"/>
  <c r="H241" i="1" s="1"/>
  <c r="D116" i="2" s="1"/>
  <c r="J252" i="1"/>
  <c r="I252" i="1"/>
  <c r="B127" i="2" s="1"/>
  <c r="G252" i="1"/>
  <c r="H240" i="1" s="1"/>
  <c r="D115" i="2" s="1"/>
  <c r="J251" i="1"/>
  <c r="I251" i="1"/>
  <c r="B126" i="2" s="1"/>
  <c r="G251" i="1"/>
  <c r="H239" i="1" s="1"/>
  <c r="D114" i="2" s="1"/>
  <c r="J250" i="1"/>
  <c r="I250" i="1"/>
  <c r="B125" i="2" s="1"/>
  <c r="G250" i="1"/>
  <c r="H238" i="1" s="1"/>
  <c r="D113" i="2" s="1"/>
  <c r="J249" i="1"/>
  <c r="I249" i="1"/>
  <c r="B124" i="2" s="1"/>
  <c r="G249" i="1"/>
  <c r="H237" i="1" s="1"/>
  <c r="D112" i="2" s="1"/>
  <c r="J248" i="1"/>
  <c r="I248" i="1"/>
  <c r="B123" i="2" s="1"/>
  <c r="G248" i="1"/>
  <c r="H236" i="1" s="1"/>
  <c r="D111" i="2" s="1"/>
  <c r="J247" i="1"/>
  <c r="I247" i="1"/>
  <c r="B122" i="2" s="1"/>
  <c r="G247" i="1"/>
  <c r="H235" i="1" s="1"/>
  <c r="D110" i="2" s="1"/>
  <c r="J246" i="1"/>
  <c r="I246" i="1"/>
  <c r="B121" i="2" s="1"/>
  <c r="G246" i="1"/>
  <c r="H234" i="1" s="1"/>
  <c r="D109" i="2" s="1"/>
  <c r="J245" i="1"/>
  <c r="I245" i="1"/>
  <c r="B120" i="2" s="1"/>
  <c r="G245" i="1"/>
  <c r="H233" i="1" s="1"/>
  <c r="D108" i="2" s="1"/>
  <c r="J244" i="1"/>
  <c r="I244" i="1"/>
  <c r="B119" i="2" s="1"/>
  <c r="G244" i="1"/>
  <c r="H232" i="1" s="1"/>
  <c r="D107" i="2" s="1"/>
  <c r="J243" i="1"/>
  <c r="I243" i="1"/>
  <c r="B118" i="2" s="1"/>
  <c r="G243" i="1"/>
  <c r="H231" i="1" s="1"/>
  <c r="D106" i="2" s="1"/>
  <c r="J242" i="1"/>
  <c r="I242" i="1"/>
  <c r="B117" i="2" s="1"/>
  <c r="G242" i="1"/>
  <c r="H230" i="1" s="1"/>
  <c r="D105" i="2" s="1"/>
  <c r="J241" i="1"/>
  <c r="I241" i="1"/>
  <c r="B116" i="2" s="1"/>
  <c r="G241" i="1"/>
  <c r="H229" i="1" s="1"/>
  <c r="D104" i="2" s="1"/>
  <c r="J240" i="1"/>
  <c r="I240" i="1"/>
  <c r="B115" i="2" s="1"/>
  <c r="G240" i="1"/>
  <c r="H228" i="1" s="1"/>
  <c r="D103" i="2" s="1"/>
  <c r="J239" i="1"/>
  <c r="I239" i="1"/>
  <c r="B114" i="2" s="1"/>
  <c r="G239" i="1"/>
  <c r="H227" i="1" s="1"/>
  <c r="D102" i="2" s="1"/>
  <c r="J238" i="1"/>
  <c r="I238" i="1"/>
  <c r="B113" i="2" s="1"/>
  <c r="G238" i="1"/>
  <c r="H226" i="1" s="1"/>
  <c r="D101" i="2" s="1"/>
  <c r="J237" i="1"/>
  <c r="I237" i="1"/>
  <c r="B112" i="2" s="1"/>
  <c r="G237" i="1"/>
  <c r="H225" i="1" s="1"/>
  <c r="D100" i="2" s="1"/>
  <c r="J236" i="1"/>
  <c r="I236" i="1"/>
  <c r="B111" i="2" s="1"/>
  <c r="G236" i="1"/>
  <c r="H224" i="1" s="1"/>
  <c r="D99" i="2" s="1"/>
  <c r="J235" i="1"/>
  <c r="I235" i="1"/>
  <c r="B110" i="2" s="1"/>
  <c r="G235" i="1"/>
  <c r="H223" i="1" s="1"/>
  <c r="D98" i="2" s="1"/>
  <c r="J234" i="1"/>
  <c r="I234" i="1"/>
  <c r="B109" i="2" s="1"/>
  <c r="G234" i="1"/>
  <c r="H222" i="1" s="1"/>
  <c r="D97" i="2" s="1"/>
  <c r="J233" i="1"/>
  <c r="I233" i="1"/>
  <c r="B108" i="2" s="1"/>
  <c r="G233" i="1"/>
  <c r="H221" i="1" s="1"/>
  <c r="D96" i="2" s="1"/>
  <c r="J232" i="1"/>
  <c r="I232" i="1"/>
  <c r="B107" i="2" s="1"/>
  <c r="G232" i="1"/>
  <c r="H220" i="1" s="1"/>
  <c r="D95" i="2" s="1"/>
  <c r="J231" i="1"/>
  <c r="I231" i="1"/>
  <c r="B106" i="2" s="1"/>
  <c r="G231" i="1"/>
  <c r="H219" i="1" s="1"/>
  <c r="D94" i="2" s="1"/>
  <c r="J230" i="1"/>
  <c r="I230" i="1"/>
  <c r="B105" i="2" s="1"/>
  <c r="G230" i="1"/>
  <c r="H218" i="1" s="1"/>
  <c r="D93" i="2" s="1"/>
  <c r="J229" i="1"/>
  <c r="I229" i="1"/>
  <c r="B104" i="2" s="1"/>
  <c r="G229" i="1"/>
  <c r="H217" i="1" s="1"/>
  <c r="D92" i="2" s="1"/>
  <c r="J228" i="1"/>
  <c r="I228" i="1"/>
  <c r="B103" i="2" s="1"/>
  <c r="G228" i="1"/>
  <c r="H216" i="1" s="1"/>
  <c r="D91" i="2" s="1"/>
  <c r="J227" i="1"/>
  <c r="I227" i="1"/>
  <c r="B102" i="2" s="1"/>
  <c r="G227" i="1"/>
  <c r="H215" i="1" s="1"/>
  <c r="D90" i="2" s="1"/>
  <c r="J226" i="1"/>
  <c r="I226" i="1"/>
  <c r="B101" i="2" s="1"/>
  <c r="G226" i="1"/>
  <c r="H214" i="1" s="1"/>
  <c r="D89" i="2" s="1"/>
  <c r="J225" i="1"/>
  <c r="I225" i="1"/>
  <c r="B100" i="2" s="1"/>
  <c r="G225" i="1"/>
  <c r="H213" i="1" s="1"/>
  <c r="D88" i="2" s="1"/>
  <c r="J224" i="1"/>
  <c r="I224" i="1"/>
  <c r="B99" i="2" s="1"/>
  <c r="G224" i="1"/>
  <c r="H212" i="1" s="1"/>
  <c r="D87" i="2" s="1"/>
  <c r="J223" i="1"/>
  <c r="I223" i="1"/>
  <c r="B98" i="2" s="1"/>
  <c r="G223" i="1"/>
  <c r="H211" i="1" s="1"/>
  <c r="D86" i="2" s="1"/>
  <c r="J222" i="1"/>
  <c r="I222" i="1"/>
  <c r="B97" i="2" s="1"/>
  <c r="G222" i="1"/>
  <c r="H210" i="1" s="1"/>
  <c r="D85" i="2" s="1"/>
  <c r="J221" i="1"/>
  <c r="I221" i="1"/>
  <c r="B96" i="2" s="1"/>
  <c r="G221" i="1"/>
  <c r="H209" i="1" s="1"/>
  <c r="D84" i="2" s="1"/>
  <c r="J220" i="1"/>
  <c r="I220" i="1"/>
  <c r="B95" i="2" s="1"/>
  <c r="G220" i="1"/>
  <c r="H208" i="1" s="1"/>
  <c r="D83" i="2" s="1"/>
  <c r="J219" i="1"/>
  <c r="I219" i="1"/>
  <c r="B94" i="2" s="1"/>
  <c r="G219" i="1"/>
  <c r="H207" i="1" s="1"/>
  <c r="D82" i="2" s="1"/>
  <c r="J218" i="1"/>
  <c r="I218" i="1"/>
  <c r="B93" i="2" s="1"/>
  <c r="G218" i="1"/>
  <c r="H206" i="1" s="1"/>
  <c r="D81" i="2" s="1"/>
  <c r="J217" i="1"/>
  <c r="I217" i="1"/>
  <c r="B92" i="2" s="1"/>
  <c r="G217" i="1"/>
  <c r="H205" i="1" s="1"/>
  <c r="D80" i="2" s="1"/>
  <c r="J216" i="1"/>
  <c r="I216" i="1"/>
  <c r="B91" i="2" s="1"/>
  <c r="G216" i="1"/>
  <c r="H204" i="1" s="1"/>
  <c r="D79" i="2" s="1"/>
  <c r="J215" i="1"/>
  <c r="I215" i="1"/>
  <c r="B90" i="2" s="1"/>
  <c r="G215" i="1"/>
  <c r="H203" i="1" s="1"/>
  <c r="D78" i="2" s="1"/>
  <c r="J214" i="1"/>
  <c r="I214" i="1"/>
  <c r="B89" i="2" s="1"/>
  <c r="G214" i="1"/>
  <c r="H202" i="1" s="1"/>
  <c r="D77" i="2" s="1"/>
  <c r="J213" i="1"/>
  <c r="I213" i="1"/>
  <c r="B88" i="2" s="1"/>
  <c r="G213" i="1"/>
  <c r="H201" i="1" s="1"/>
  <c r="D76" i="2" s="1"/>
  <c r="J212" i="1"/>
  <c r="I212" i="1"/>
  <c r="B87" i="2" s="1"/>
  <c r="G212" i="1"/>
  <c r="H200" i="1" s="1"/>
  <c r="D75" i="2" s="1"/>
  <c r="J211" i="1"/>
  <c r="I211" i="1"/>
  <c r="B86" i="2" s="1"/>
  <c r="G211" i="1"/>
  <c r="H199" i="1" s="1"/>
  <c r="D74" i="2" s="1"/>
  <c r="J210" i="1"/>
  <c r="I210" i="1"/>
  <c r="B85" i="2" s="1"/>
  <c r="G210" i="1"/>
  <c r="H198" i="1" s="1"/>
  <c r="D73" i="2" s="1"/>
  <c r="J209" i="1"/>
  <c r="I209" i="1"/>
  <c r="B84" i="2" s="1"/>
  <c r="G209" i="1"/>
  <c r="H197" i="1" s="1"/>
  <c r="D72" i="2" s="1"/>
  <c r="J208" i="1"/>
  <c r="I208" i="1"/>
  <c r="B83" i="2" s="1"/>
  <c r="G208" i="1"/>
  <c r="H196" i="1" s="1"/>
  <c r="D71" i="2" s="1"/>
  <c r="J207" i="1"/>
  <c r="I207" i="1"/>
  <c r="B82" i="2" s="1"/>
  <c r="G207" i="1"/>
  <c r="H195" i="1" s="1"/>
  <c r="D70" i="2" s="1"/>
  <c r="J206" i="1"/>
  <c r="I206" i="1"/>
  <c r="B81" i="2" s="1"/>
  <c r="G206" i="1"/>
  <c r="H194" i="1" s="1"/>
  <c r="D69" i="2" s="1"/>
  <c r="J205" i="1"/>
  <c r="I205" i="1"/>
  <c r="B80" i="2" s="1"/>
  <c r="G205" i="1"/>
  <c r="H193" i="1" s="1"/>
  <c r="D68" i="2" s="1"/>
  <c r="J204" i="1"/>
  <c r="I204" i="1"/>
  <c r="B79" i="2" s="1"/>
  <c r="G204" i="1"/>
  <c r="H192" i="1" s="1"/>
  <c r="D67" i="2" s="1"/>
  <c r="J203" i="1"/>
  <c r="I203" i="1"/>
  <c r="B78" i="2" s="1"/>
  <c r="G203" i="1"/>
  <c r="H191" i="1" s="1"/>
  <c r="D66" i="2" s="1"/>
  <c r="J202" i="1"/>
  <c r="I202" i="1"/>
  <c r="B77" i="2" s="1"/>
  <c r="G202" i="1"/>
  <c r="H190" i="1" s="1"/>
  <c r="D65" i="2" s="1"/>
  <c r="J201" i="1"/>
  <c r="I201" i="1"/>
  <c r="B76" i="2" s="1"/>
  <c r="G201" i="1"/>
  <c r="H189" i="1" s="1"/>
  <c r="D64" i="2" s="1"/>
  <c r="J200" i="1"/>
  <c r="I200" i="1"/>
  <c r="B75" i="2" s="1"/>
  <c r="G200" i="1"/>
  <c r="H188" i="1" s="1"/>
  <c r="D63" i="2" s="1"/>
  <c r="J199" i="1"/>
  <c r="I199" i="1"/>
  <c r="B74" i="2" s="1"/>
  <c r="G199" i="1"/>
  <c r="H187" i="1" s="1"/>
  <c r="D62" i="2" s="1"/>
  <c r="J198" i="1"/>
  <c r="I198" i="1"/>
  <c r="B73" i="2" s="1"/>
  <c r="G198" i="1"/>
  <c r="H186" i="1" s="1"/>
  <c r="D61" i="2" s="1"/>
  <c r="J197" i="1"/>
  <c r="I197" i="1"/>
  <c r="B72" i="2" s="1"/>
  <c r="G197" i="1"/>
  <c r="H185" i="1" s="1"/>
  <c r="D60" i="2" s="1"/>
  <c r="J196" i="1"/>
  <c r="I196" i="1"/>
  <c r="B71" i="2" s="1"/>
  <c r="G196" i="1"/>
  <c r="H184" i="1" s="1"/>
  <c r="D59" i="2" s="1"/>
  <c r="J195" i="1"/>
  <c r="I195" i="1"/>
  <c r="B70" i="2" s="1"/>
  <c r="G195" i="1"/>
  <c r="H183" i="1" s="1"/>
  <c r="D58" i="2" s="1"/>
  <c r="J194" i="1"/>
  <c r="I194" i="1"/>
  <c r="B69" i="2" s="1"/>
  <c r="G194" i="1"/>
  <c r="H182" i="1" s="1"/>
  <c r="D57" i="2" s="1"/>
  <c r="J193" i="1"/>
  <c r="I193" i="1"/>
  <c r="B68" i="2" s="1"/>
  <c r="G193" i="1"/>
  <c r="H181" i="1" s="1"/>
  <c r="D56" i="2" s="1"/>
  <c r="J192" i="1"/>
  <c r="I192" i="1"/>
  <c r="B67" i="2" s="1"/>
  <c r="G192" i="1"/>
  <c r="H180" i="1" s="1"/>
  <c r="D55" i="2" s="1"/>
  <c r="J191" i="1"/>
  <c r="I191" i="1"/>
  <c r="B66" i="2" s="1"/>
  <c r="G191" i="1"/>
  <c r="H179" i="1" s="1"/>
  <c r="D54" i="2" s="1"/>
  <c r="J190" i="1"/>
  <c r="I190" i="1"/>
  <c r="B65" i="2" s="1"/>
  <c r="G190" i="1"/>
  <c r="H178" i="1" s="1"/>
  <c r="D53" i="2" s="1"/>
  <c r="J189" i="1"/>
  <c r="I189" i="1"/>
  <c r="B64" i="2" s="1"/>
  <c r="G189" i="1"/>
  <c r="H177" i="1" s="1"/>
  <c r="D52" i="2" s="1"/>
  <c r="J188" i="1"/>
  <c r="I188" i="1"/>
  <c r="B63" i="2" s="1"/>
  <c r="G188" i="1"/>
  <c r="H176" i="1" s="1"/>
  <c r="D51" i="2" s="1"/>
  <c r="J187" i="1"/>
  <c r="I187" i="1"/>
  <c r="B62" i="2" s="1"/>
  <c r="G187" i="1"/>
  <c r="H175" i="1" s="1"/>
  <c r="D50" i="2" s="1"/>
  <c r="J186" i="1"/>
  <c r="I186" i="1"/>
  <c r="B61" i="2" s="1"/>
  <c r="G186" i="1"/>
  <c r="H174" i="1" s="1"/>
  <c r="D49" i="2" s="1"/>
  <c r="J185" i="1"/>
  <c r="I185" i="1"/>
  <c r="B60" i="2" s="1"/>
  <c r="G185" i="1"/>
  <c r="H173" i="1" s="1"/>
  <c r="D48" i="2" s="1"/>
  <c r="J184" i="1"/>
  <c r="I184" i="1"/>
  <c r="B59" i="2" s="1"/>
  <c r="G184" i="1"/>
  <c r="H172" i="1" s="1"/>
  <c r="D47" i="2" s="1"/>
  <c r="J183" i="1"/>
  <c r="I183" i="1"/>
  <c r="B58" i="2" s="1"/>
  <c r="G183" i="1"/>
  <c r="H171" i="1" s="1"/>
  <c r="D46" i="2" s="1"/>
  <c r="J182" i="1"/>
  <c r="I182" i="1"/>
  <c r="B57" i="2" s="1"/>
  <c r="G182" i="1"/>
  <c r="H170" i="1" s="1"/>
  <c r="D45" i="2" s="1"/>
  <c r="J181" i="1"/>
  <c r="I181" i="1"/>
  <c r="B56" i="2" s="1"/>
  <c r="G181" i="1"/>
  <c r="H169" i="1" s="1"/>
  <c r="D44" i="2" s="1"/>
  <c r="J180" i="1"/>
  <c r="I180" i="1"/>
  <c r="B55" i="2" s="1"/>
  <c r="G180" i="1"/>
  <c r="H168" i="1" s="1"/>
  <c r="D43" i="2" s="1"/>
  <c r="J179" i="1"/>
  <c r="I179" i="1"/>
  <c r="B54" i="2" s="1"/>
  <c r="G179" i="1"/>
  <c r="H167" i="1" s="1"/>
  <c r="D42" i="2" s="1"/>
  <c r="J178" i="1"/>
  <c r="I178" i="1"/>
  <c r="B53" i="2" s="1"/>
  <c r="G178" i="1"/>
  <c r="H166" i="1" s="1"/>
  <c r="D41" i="2" s="1"/>
  <c r="J177" i="1"/>
  <c r="I177" i="1"/>
  <c r="B52" i="2" s="1"/>
  <c r="G177" i="1"/>
  <c r="H165" i="1" s="1"/>
  <c r="D40" i="2" s="1"/>
  <c r="J176" i="1"/>
  <c r="I176" i="1"/>
  <c r="B51" i="2" s="1"/>
  <c r="G176" i="1"/>
  <c r="H164" i="1" s="1"/>
  <c r="D39" i="2" s="1"/>
  <c r="J175" i="1"/>
  <c r="I175" i="1"/>
  <c r="B50" i="2" s="1"/>
  <c r="G175" i="1"/>
  <c r="H163" i="1" s="1"/>
  <c r="D38" i="2" s="1"/>
  <c r="J174" i="1"/>
  <c r="I174" i="1"/>
  <c r="B49" i="2" s="1"/>
  <c r="G174" i="1"/>
  <c r="H162" i="1" s="1"/>
  <c r="D37" i="2" s="1"/>
  <c r="J173" i="1"/>
  <c r="I173" i="1"/>
  <c r="B48" i="2" s="1"/>
  <c r="G173" i="1"/>
  <c r="H161" i="1" s="1"/>
  <c r="D36" i="2" s="1"/>
  <c r="J172" i="1"/>
  <c r="I172" i="1"/>
  <c r="B47" i="2" s="1"/>
  <c r="G172" i="1"/>
  <c r="H160" i="1" s="1"/>
  <c r="D35" i="2" s="1"/>
  <c r="J171" i="1"/>
  <c r="I171" i="1"/>
  <c r="B46" i="2" s="1"/>
  <c r="G171" i="1"/>
  <c r="H159" i="1" s="1"/>
  <c r="D34" i="2" s="1"/>
  <c r="J170" i="1"/>
  <c r="I170" i="1"/>
  <c r="B45" i="2" s="1"/>
  <c r="G170" i="1"/>
  <c r="H158" i="1" s="1"/>
  <c r="D33" i="2" s="1"/>
  <c r="J169" i="1"/>
  <c r="I169" i="1"/>
  <c r="B44" i="2" s="1"/>
  <c r="G169" i="1"/>
  <c r="H157" i="1" s="1"/>
  <c r="D32" i="2" s="1"/>
  <c r="J168" i="1"/>
  <c r="I168" i="1"/>
  <c r="B43" i="2" s="1"/>
  <c r="G168" i="1"/>
  <c r="H156" i="1" s="1"/>
  <c r="D31" i="2" s="1"/>
  <c r="J167" i="1"/>
  <c r="I167" i="1"/>
  <c r="B42" i="2" s="1"/>
  <c r="G167" i="1"/>
  <c r="H155" i="1" s="1"/>
  <c r="D30" i="2" s="1"/>
  <c r="J166" i="1"/>
  <c r="I166" i="1"/>
  <c r="B41" i="2" s="1"/>
  <c r="G166" i="1"/>
  <c r="H154" i="1" s="1"/>
  <c r="D29" i="2" s="1"/>
  <c r="J165" i="1"/>
  <c r="I165" i="1"/>
  <c r="B40" i="2" s="1"/>
  <c r="G165" i="1"/>
  <c r="H153" i="1" s="1"/>
  <c r="D28" i="2" s="1"/>
  <c r="J164" i="1"/>
  <c r="I164" i="1"/>
  <c r="B39" i="2" s="1"/>
  <c r="G164" i="1"/>
  <c r="H152" i="1" s="1"/>
  <c r="D27" i="2" s="1"/>
  <c r="J163" i="1"/>
  <c r="I163" i="1"/>
  <c r="B38" i="2" s="1"/>
  <c r="G163" i="1"/>
  <c r="H151" i="1" s="1"/>
  <c r="D26" i="2" s="1"/>
  <c r="J162" i="1"/>
  <c r="I162" i="1"/>
  <c r="B37" i="2" s="1"/>
  <c r="G162" i="1"/>
  <c r="H150" i="1" s="1"/>
  <c r="D25" i="2" s="1"/>
  <c r="J161" i="1"/>
  <c r="I161" i="1"/>
  <c r="B36" i="2" s="1"/>
  <c r="G161" i="1"/>
  <c r="H149" i="1" s="1"/>
  <c r="D24" i="2" s="1"/>
  <c r="J160" i="1"/>
  <c r="I160" i="1"/>
  <c r="B35" i="2" s="1"/>
  <c r="G160" i="1"/>
  <c r="H148" i="1" s="1"/>
  <c r="D23" i="2" s="1"/>
  <c r="J159" i="1"/>
  <c r="I159" i="1"/>
  <c r="B34" i="2" s="1"/>
  <c r="G159" i="1"/>
  <c r="H147" i="1" s="1"/>
  <c r="D22" i="2" s="1"/>
  <c r="J158" i="1"/>
  <c r="I158" i="1"/>
  <c r="B33" i="2" s="1"/>
  <c r="G158" i="1"/>
  <c r="H146" i="1" s="1"/>
  <c r="D21" i="2" s="1"/>
  <c r="J157" i="1"/>
  <c r="I157" i="1"/>
  <c r="B32" i="2" s="1"/>
  <c r="G157" i="1"/>
  <c r="H145" i="1" s="1"/>
  <c r="D20" i="2" s="1"/>
  <c r="J156" i="1"/>
  <c r="I156" i="1"/>
  <c r="B31" i="2" s="1"/>
  <c r="G156" i="1"/>
  <c r="H144" i="1" s="1"/>
  <c r="D19" i="2" s="1"/>
  <c r="J155" i="1"/>
  <c r="I155" i="1"/>
  <c r="B30" i="2" s="1"/>
  <c r="G155" i="1"/>
  <c r="H143" i="1" s="1"/>
  <c r="D18" i="2" s="1"/>
  <c r="J154" i="1"/>
  <c r="I154" i="1"/>
  <c r="B29" i="2" s="1"/>
  <c r="G154" i="1"/>
  <c r="H142" i="1" s="1"/>
  <c r="D17" i="2" s="1"/>
  <c r="J153" i="1"/>
  <c r="I153" i="1"/>
  <c r="B28" i="2" s="1"/>
  <c r="G153" i="1"/>
  <c r="H141" i="1" s="1"/>
  <c r="D16" i="2" s="1"/>
  <c r="J152" i="1"/>
  <c r="I152" i="1"/>
  <c r="B27" i="2" s="1"/>
  <c r="G152" i="1"/>
  <c r="H140" i="1" s="1"/>
  <c r="D15" i="2" s="1"/>
  <c r="J151" i="1"/>
  <c r="I151" i="1"/>
  <c r="B26" i="2" s="1"/>
  <c r="G151" i="1"/>
  <c r="H139" i="1" s="1"/>
  <c r="D14" i="2" s="1"/>
  <c r="J150" i="1"/>
  <c r="I150" i="1"/>
  <c r="B25" i="2" s="1"/>
  <c r="G150" i="1"/>
  <c r="H138" i="1" s="1"/>
  <c r="D13" i="2" s="1"/>
  <c r="J149" i="1"/>
  <c r="I149" i="1"/>
  <c r="B24" i="2" s="1"/>
  <c r="G149" i="1"/>
  <c r="H137" i="1" s="1"/>
  <c r="D12" i="2" s="1"/>
  <c r="J148" i="1"/>
  <c r="I148" i="1"/>
  <c r="B23" i="2" s="1"/>
  <c r="G148" i="1"/>
  <c r="H136" i="1" s="1"/>
  <c r="D11" i="2" s="1"/>
  <c r="J147" i="1"/>
  <c r="I147" i="1"/>
  <c r="B22" i="2" s="1"/>
  <c r="G147" i="1"/>
  <c r="H135" i="1" s="1"/>
  <c r="D10" i="2" s="1"/>
  <c r="J146" i="1"/>
  <c r="I146" i="1"/>
  <c r="B21" i="2" s="1"/>
  <c r="G146" i="1"/>
  <c r="H134" i="1" s="1"/>
  <c r="D9" i="2" s="1"/>
  <c r="J145" i="1"/>
  <c r="I145" i="1"/>
  <c r="B20" i="2" s="1"/>
  <c r="G145" i="1"/>
  <c r="H133" i="1" s="1"/>
  <c r="D8" i="2" s="1"/>
  <c r="J144" i="1"/>
  <c r="I144" i="1"/>
  <c r="B19" i="2" s="1"/>
  <c r="G144" i="1"/>
  <c r="H132" i="1" s="1"/>
  <c r="D7" i="2" s="1"/>
  <c r="J143" i="1"/>
  <c r="I143" i="1"/>
  <c r="B18" i="2" s="1"/>
  <c r="G143" i="1"/>
  <c r="H131" i="1" s="1"/>
  <c r="D6" i="2" s="1"/>
  <c r="J142" i="1"/>
  <c r="I142" i="1"/>
  <c r="B17" i="2" s="1"/>
  <c r="G142" i="1"/>
  <c r="H130" i="1" s="1"/>
  <c r="D5" i="2" s="1"/>
  <c r="J141" i="1"/>
  <c r="I141" i="1"/>
  <c r="B16" i="2" s="1"/>
  <c r="G141" i="1"/>
  <c r="H129" i="1" s="1"/>
  <c r="D4" i="2" s="1"/>
  <c r="J140" i="1"/>
  <c r="I140" i="1"/>
  <c r="B15" i="2" s="1"/>
  <c r="G140" i="1"/>
  <c r="H128" i="1" s="1"/>
  <c r="D3" i="2" s="1"/>
  <c r="J139" i="1"/>
  <c r="I139" i="1"/>
  <c r="B14" i="2" s="1"/>
  <c r="G139" i="1"/>
  <c r="H127" i="1" s="1"/>
  <c r="D2" i="2" s="1"/>
  <c r="J138" i="1"/>
  <c r="I138" i="1"/>
  <c r="B13" i="2" s="1"/>
  <c r="G138" i="1"/>
  <c r="J137" i="1"/>
  <c r="I137" i="1"/>
  <c r="B12" i="2" s="1"/>
  <c r="J136" i="1"/>
  <c r="I136" i="1"/>
  <c r="B11" i="2" s="1"/>
  <c r="J135" i="1"/>
  <c r="I135" i="1"/>
  <c r="B10" i="2" s="1"/>
  <c r="J134" i="1"/>
  <c r="I134" i="1"/>
  <c r="B9" i="2" s="1"/>
  <c r="J133" i="1"/>
  <c r="I133" i="1"/>
  <c r="B8" i="2" s="1"/>
  <c r="J132" i="1"/>
  <c r="I132" i="1"/>
  <c r="B7" i="2" s="1"/>
  <c r="J131" i="1"/>
  <c r="I131" i="1"/>
  <c r="B6" i="2" s="1"/>
  <c r="J130" i="1"/>
  <c r="I130" i="1"/>
  <c r="B5" i="2" s="1"/>
  <c r="J129" i="1"/>
  <c r="I129" i="1"/>
  <c r="B4" i="2" s="1"/>
  <c r="J128" i="1"/>
  <c r="I128" i="1"/>
  <c r="B3" i="2" s="1"/>
  <c r="J127" i="1"/>
  <c r="I127" i="1"/>
  <c r="B2" i="2" s="1"/>
  <c r="J126" i="1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Matthias Feiler</author>
  </authors>
  <commentList>
    <comment ref="A1" authorId="0" shapeId="0" xr:uid="{DDD11D9D-9916-4E58-A2DE-3A276D6BE565}">
      <text>
        <r>
          <rPr>
            <b/>
            <sz val="9"/>
            <color indexed="81"/>
            <rFont val="Tahoma"/>
            <family val="2"/>
          </rPr>
          <t>=Thomson.Reuters.AFOSpreadSheetFormulas.DSGRID("TOTMKUS(PE),TRUS10T(RY),USCONPRCE, TOTMKUS(PI)/TOTMKUS(PE),TRUS3MT(RY)"," ","1973-01-31","","M","RowHeader=true;ColHeader=true;Heading=true;Curn=true;DispSeriesDescription=false;YearlyTSFormat=false;QuarterlyTSFormat=false","")</t>
        </r>
      </text>
    </comment>
  </commentList>
</comments>
</file>

<file path=xl/sharedStrings.xml><?xml version="1.0" encoding="utf-8"?>
<sst xmlns="http://schemas.openxmlformats.org/spreadsheetml/2006/main" count="18" uniqueCount="14">
  <si>
    <t>End</t>
  </si>
  <si>
    <t>Frequency</t>
  </si>
  <si>
    <t>M</t>
  </si>
  <si>
    <t>Name</t>
  </si>
  <si>
    <t>US CPI - ALL URBAN: ALL ITEMS SADJ</t>
  </si>
  <si>
    <t>CURRENCY</t>
  </si>
  <si>
    <t>U$</t>
  </si>
  <si>
    <t>TOTMKUS(PI)/TOTMKUS(PE)</t>
  </si>
  <si>
    <t>Real Yield</t>
  </si>
  <si>
    <t>12M FWD E</t>
  </si>
  <si>
    <t>US-DS Market - PER</t>
  </si>
  <si>
    <t>US GVT EVAL BMK BID YLD 10Y - RED. YIELD</t>
  </si>
  <si>
    <t>US GVT EVAL BMK BID YLD 3M - RED. YIELD</t>
  </si>
  <si>
    <t>Steepness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</si>
</sst>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1" applyNumberFormat="1" applyFont="1"/>
    <xf numFmtId="14" fontId="0" fillId="0" borderId="1" xfId="0" applyNumberFormat="1" applyBorder="1"/>
    <xf numFmtId="164" fontId="0" fillId="0" borderId="1" xfId="0" applyNumberFormat="1" applyBorder="1" applyAlignment="1">
      <alignment horizontal="right"/>
    </xf>
    <xf numFmtId="0" fontId="0" fillId="0" borderId="1" xfId="0" applyBorder="1"/>
    <xf numFmtId="9" fontId="0" fillId="0" borderId="0" xfId="1" applyFont="1" applyAlignment="1">
      <alignment horizontal="right"/>
    </xf>
    <xf numFmtId="165" fontId="0" fillId="0" borderId="0" xfId="1" applyNumberFormat="1" applyFont="1" applyAlignment="1">
      <alignment horizontal="right"/>
    </xf>
    <xf numFmtId="9" fontId="0" fillId="0" borderId="1" xfId="1" applyFont="1" applyBorder="1" applyAlignment="1">
      <alignment horizontal="right"/>
    </xf>
    <xf numFmtId="165" fontId="0" fillId="0" borderId="0" xfId="0" applyNumberFormat="1"/>
    <xf numFmtId="0" fontId="0" fillId="0" borderId="0" xfId="0" quotePrefix="1"/>
    <xf numFmtId="164" fontId="0" fillId="0" borderId="0" xfId="0" quotePrefix="1" applyNumberFormat="1" applyAlignment="1">
      <alignment horizontal="right"/>
    </xf>
    <xf numFmtId="9" fontId="3" fillId="0" borderId="0" xfId="1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'Raw Data'!$B$4</c:f>
              <c:strCache>
                <c:ptCount val="1"/>
                <c:pt idx="0">
                  <c:v>US-DS Market - 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'Raw Data'!$A$126:$A$700</c:f>
              <c:numCache>
                <c:formatCode>m/d/yyyy</c:formatCode>
                <c:ptCount val="575"/>
                <c:pt idx="0">
                  <c:v>30347</c:v>
                </c:pt>
                <c:pt idx="1">
                  <c:v>30375</c:v>
                </c:pt>
                <c:pt idx="2">
                  <c:v>30406</c:v>
                </c:pt>
                <c:pt idx="3">
                  <c:v>30435</c:v>
                </c:pt>
                <c:pt idx="4">
                  <c:v>30467</c:v>
                </c:pt>
                <c:pt idx="5">
                  <c:v>30497</c:v>
                </c:pt>
                <c:pt idx="6">
                  <c:v>30526</c:v>
                </c:pt>
                <c:pt idx="7">
                  <c:v>30559</c:v>
                </c:pt>
                <c:pt idx="8">
                  <c:v>30589</c:v>
                </c:pt>
                <c:pt idx="9">
                  <c:v>30620</c:v>
                </c:pt>
                <c:pt idx="10">
                  <c:v>30650</c:v>
                </c:pt>
                <c:pt idx="11">
                  <c:v>30680</c:v>
                </c:pt>
                <c:pt idx="12">
                  <c:v>30712</c:v>
                </c:pt>
                <c:pt idx="13">
                  <c:v>30741</c:v>
                </c:pt>
                <c:pt idx="14">
                  <c:v>30771</c:v>
                </c:pt>
                <c:pt idx="15">
                  <c:v>30802</c:v>
                </c:pt>
                <c:pt idx="16">
                  <c:v>30833</c:v>
                </c:pt>
                <c:pt idx="17">
                  <c:v>30862</c:v>
                </c:pt>
                <c:pt idx="18">
                  <c:v>30894</c:v>
                </c:pt>
                <c:pt idx="19">
                  <c:v>30925</c:v>
                </c:pt>
                <c:pt idx="20">
                  <c:v>30953</c:v>
                </c:pt>
                <c:pt idx="21">
                  <c:v>30986</c:v>
                </c:pt>
                <c:pt idx="22">
                  <c:v>31016</c:v>
                </c:pt>
                <c:pt idx="23">
                  <c:v>31047</c:v>
                </c:pt>
                <c:pt idx="24">
                  <c:v>31078</c:v>
                </c:pt>
                <c:pt idx="25">
                  <c:v>31106</c:v>
                </c:pt>
                <c:pt idx="26">
                  <c:v>31135</c:v>
                </c:pt>
                <c:pt idx="27">
                  <c:v>31167</c:v>
                </c:pt>
                <c:pt idx="28">
                  <c:v>31198</c:v>
                </c:pt>
                <c:pt idx="29">
                  <c:v>31226</c:v>
                </c:pt>
                <c:pt idx="30">
                  <c:v>31259</c:v>
                </c:pt>
                <c:pt idx="31">
                  <c:v>31289</c:v>
                </c:pt>
                <c:pt idx="32">
                  <c:v>31320</c:v>
                </c:pt>
                <c:pt idx="33">
                  <c:v>31351</c:v>
                </c:pt>
                <c:pt idx="34">
                  <c:v>31380</c:v>
                </c:pt>
                <c:pt idx="35">
                  <c:v>31412</c:v>
                </c:pt>
                <c:pt idx="36">
                  <c:v>31443</c:v>
                </c:pt>
                <c:pt idx="37">
                  <c:v>31471</c:v>
                </c:pt>
                <c:pt idx="38">
                  <c:v>31502</c:v>
                </c:pt>
                <c:pt idx="39">
                  <c:v>31532</c:v>
                </c:pt>
                <c:pt idx="40">
                  <c:v>31562</c:v>
                </c:pt>
                <c:pt idx="41">
                  <c:v>31593</c:v>
                </c:pt>
                <c:pt idx="42">
                  <c:v>31624</c:v>
                </c:pt>
                <c:pt idx="43">
                  <c:v>31653</c:v>
                </c:pt>
                <c:pt idx="44">
                  <c:v>31685</c:v>
                </c:pt>
                <c:pt idx="45">
                  <c:v>31716</c:v>
                </c:pt>
                <c:pt idx="46">
                  <c:v>31744</c:v>
                </c:pt>
                <c:pt idx="47">
                  <c:v>31777</c:v>
                </c:pt>
                <c:pt idx="48">
                  <c:v>31807</c:v>
                </c:pt>
                <c:pt idx="49">
                  <c:v>31835</c:v>
                </c:pt>
                <c:pt idx="50">
                  <c:v>31867</c:v>
                </c:pt>
                <c:pt idx="51">
                  <c:v>31897</c:v>
                </c:pt>
                <c:pt idx="52">
                  <c:v>31926</c:v>
                </c:pt>
                <c:pt idx="53">
                  <c:v>31958</c:v>
                </c:pt>
                <c:pt idx="54">
                  <c:v>31989</c:v>
                </c:pt>
                <c:pt idx="55">
                  <c:v>32020</c:v>
                </c:pt>
                <c:pt idx="56">
                  <c:v>32050</c:v>
                </c:pt>
                <c:pt idx="57">
                  <c:v>32080</c:v>
                </c:pt>
                <c:pt idx="58">
                  <c:v>32111</c:v>
                </c:pt>
                <c:pt idx="59">
                  <c:v>32142</c:v>
                </c:pt>
                <c:pt idx="60">
                  <c:v>32171</c:v>
                </c:pt>
                <c:pt idx="61">
                  <c:v>32202</c:v>
                </c:pt>
                <c:pt idx="62">
                  <c:v>32233</c:v>
                </c:pt>
                <c:pt idx="63">
                  <c:v>32262</c:v>
                </c:pt>
                <c:pt idx="64">
                  <c:v>32294</c:v>
                </c:pt>
                <c:pt idx="65">
                  <c:v>32324</c:v>
                </c:pt>
                <c:pt idx="66">
                  <c:v>32353</c:v>
                </c:pt>
                <c:pt idx="67">
                  <c:v>32386</c:v>
                </c:pt>
                <c:pt idx="68">
                  <c:v>32416</c:v>
                </c:pt>
                <c:pt idx="69">
                  <c:v>32447</c:v>
                </c:pt>
                <c:pt idx="70">
                  <c:v>32477</c:v>
                </c:pt>
                <c:pt idx="71">
                  <c:v>32507</c:v>
                </c:pt>
                <c:pt idx="72">
                  <c:v>32539</c:v>
                </c:pt>
                <c:pt idx="73">
                  <c:v>32567</c:v>
                </c:pt>
                <c:pt idx="74">
                  <c:v>32598</c:v>
                </c:pt>
                <c:pt idx="75">
                  <c:v>32626</c:v>
                </c:pt>
                <c:pt idx="76">
                  <c:v>32659</c:v>
                </c:pt>
                <c:pt idx="77">
                  <c:v>32689</c:v>
                </c:pt>
                <c:pt idx="78">
                  <c:v>32720</c:v>
                </c:pt>
                <c:pt idx="79">
                  <c:v>32751</c:v>
                </c:pt>
                <c:pt idx="80">
                  <c:v>32780</c:v>
                </c:pt>
                <c:pt idx="81">
                  <c:v>32812</c:v>
                </c:pt>
                <c:pt idx="82">
                  <c:v>32842</c:v>
                </c:pt>
                <c:pt idx="83">
                  <c:v>32871</c:v>
                </c:pt>
                <c:pt idx="84">
                  <c:v>32904</c:v>
                </c:pt>
                <c:pt idx="85">
                  <c:v>32932</c:v>
                </c:pt>
                <c:pt idx="86">
                  <c:v>32962</c:v>
                </c:pt>
                <c:pt idx="87">
                  <c:v>32993</c:v>
                </c:pt>
                <c:pt idx="88">
                  <c:v>33024</c:v>
                </c:pt>
                <c:pt idx="89">
                  <c:v>33053</c:v>
                </c:pt>
                <c:pt idx="90">
                  <c:v>33085</c:v>
                </c:pt>
                <c:pt idx="91">
                  <c:v>33116</c:v>
                </c:pt>
                <c:pt idx="92">
                  <c:v>33144</c:v>
                </c:pt>
                <c:pt idx="93">
                  <c:v>33177</c:v>
                </c:pt>
                <c:pt idx="94">
                  <c:v>33207</c:v>
                </c:pt>
                <c:pt idx="95">
                  <c:v>33238</c:v>
                </c:pt>
                <c:pt idx="96">
                  <c:v>33269</c:v>
                </c:pt>
                <c:pt idx="97">
                  <c:v>33297</c:v>
                </c:pt>
                <c:pt idx="98">
                  <c:v>33326</c:v>
                </c:pt>
                <c:pt idx="99">
                  <c:v>33358</c:v>
                </c:pt>
                <c:pt idx="100">
                  <c:v>33389</c:v>
                </c:pt>
                <c:pt idx="101">
                  <c:v>33417</c:v>
                </c:pt>
                <c:pt idx="102">
                  <c:v>33450</c:v>
                </c:pt>
                <c:pt idx="103">
                  <c:v>33480</c:v>
                </c:pt>
                <c:pt idx="104">
                  <c:v>33511</c:v>
                </c:pt>
                <c:pt idx="105">
                  <c:v>33542</c:v>
                </c:pt>
                <c:pt idx="106">
                  <c:v>33571</c:v>
                </c:pt>
                <c:pt idx="107">
                  <c:v>33603</c:v>
                </c:pt>
                <c:pt idx="108">
                  <c:v>33634</c:v>
                </c:pt>
                <c:pt idx="109">
                  <c:v>33662</c:v>
                </c:pt>
                <c:pt idx="110">
                  <c:v>33694</c:v>
                </c:pt>
                <c:pt idx="111">
                  <c:v>33724</c:v>
                </c:pt>
                <c:pt idx="112">
                  <c:v>33753</c:v>
                </c:pt>
                <c:pt idx="113">
                  <c:v>33785</c:v>
                </c:pt>
                <c:pt idx="114">
                  <c:v>33816</c:v>
                </c:pt>
                <c:pt idx="115">
                  <c:v>33847</c:v>
                </c:pt>
                <c:pt idx="116">
                  <c:v>33877</c:v>
                </c:pt>
                <c:pt idx="117">
                  <c:v>33907</c:v>
                </c:pt>
                <c:pt idx="118">
                  <c:v>33938</c:v>
                </c:pt>
                <c:pt idx="119">
                  <c:v>33969</c:v>
                </c:pt>
                <c:pt idx="120">
                  <c:v>33998</c:v>
                </c:pt>
                <c:pt idx="121">
                  <c:v>34026</c:v>
                </c:pt>
                <c:pt idx="122">
                  <c:v>34059</c:v>
                </c:pt>
                <c:pt idx="123">
                  <c:v>34089</c:v>
                </c:pt>
                <c:pt idx="124">
                  <c:v>34120</c:v>
                </c:pt>
                <c:pt idx="125">
                  <c:v>34150</c:v>
                </c:pt>
                <c:pt idx="126">
                  <c:v>34180</c:v>
                </c:pt>
                <c:pt idx="127">
                  <c:v>34212</c:v>
                </c:pt>
                <c:pt idx="128">
                  <c:v>34242</c:v>
                </c:pt>
                <c:pt idx="129">
                  <c:v>34271</c:v>
                </c:pt>
                <c:pt idx="130">
                  <c:v>34303</c:v>
                </c:pt>
                <c:pt idx="131">
                  <c:v>34334</c:v>
                </c:pt>
                <c:pt idx="132">
                  <c:v>34365</c:v>
                </c:pt>
                <c:pt idx="133">
                  <c:v>34393</c:v>
                </c:pt>
                <c:pt idx="134">
                  <c:v>34424</c:v>
                </c:pt>
                <c:pt idx="135">
                  <c:v>34453</c:v>
                </c:pt>
                <c:pt idx="136">
                  <c:v>34485</c:v>
                </c:pt>
                <c:pt idx="137">
                  <c:v>34515</c:v>
                </c:pt>
                <c:pt idx="138">
                  <c:v>34544</c:v>
                </c:pt>
                <c:pt idx="139">
                  <c:v>34577</c:v>
                </c:pt>
                <c:pt idx="140">
                  <c:v>34607</c:v>
                </c:pt>
                <c:pt idx="141">
                  <c:v>34638</c:v>
                </c:pt>
                <c:pt idx="142">
                  <c:v>34668</c:v>
                </c:pt>
                <c:pt idx="143">
                  <c:v>34698</c:v>
                </c:pt>
                <c:pt idx="144">
                  <c:v>34730</c:v>
                </c:pt>
                <c:pt idx="145">
                  <c:v>34758</c:v>
                </c:pt>
                <c:pt idx="146">
                  <c:v>34789</c:v>
                </c:pt>
                <c:pt idx="147">
                  <c:v>34817</c:v>
                </c:pt>
                <c:pt idx="148">
                  <c:v>34850</c:v>
                </c:pt>
                <c:pt idx="149">
                  <c:v>34880</c:v>
                </c:pt>
                <c:pt idx="150">
                  <c:v>34911</c:v>
                </c:pt>
                <c:pt idx="151">
                  <c:v>34942</c:v>
                </c:pt>
                <c:pt idx="152">
                  <c:v>34971</c:v>
                </c:pt>
                <c:pt idx="153">
                  <c:v>35003</c:v>
                </c:pt>
                <c:pt idx="154">
                  <c:v>35033</c:v>
                </c:pt>
                <c:pt idx="155">
                  <c:v>35062</c:v>
                </c:pt>
                <c:pt idx="156">
                  <c:v>35095</c:v>
                </c:pt>
                <c:pt idx="157">
                  <c:v>35124</c:v>
                </c:pt>
                <c:pt idx="158">
                  <c:v>35153</c:v>
                </c:pt>
                <c:pt idx="159">
                  <c:v>35185</c:v>
                </c:pt>
                <c:pt idx="160">
                  <c:v>35216</c:v>
                </c:pt>
                <c:pt idx="161">
                  <c:v>35244</c:v>
                </c:pt>
                <c:pt idx="162">
                  <c:v>35277</c:v>
                </c:pt>
                <c:pt idx="163">
                  <c:v>35307</c:v>
                </c:pt>
                <c:pt idx="164">
                  <c:v>35338</c:v>
                </c:pt>
                <c:pt idx="165">
                  <c:v>35369</c:v>
                </c:pt>
                <c:pt idx="166">
                  <c:v>35398</c:v>
                </c:pt>
                <c:pt idx="167">
                  <c:v>35430</c:v>
                </c:pt>
                <c:pt idx="168">
                  <c:v>35461</c:v>
                </c:pt>
                <c:pt idx="169">
                  <c:v>35489</c:v>
                </c:pt>
                <c:pt idx="170">
                  <c:v>35520</c:v>
                </c:pt>
                <c:pt idx="171">
                  <c:v>35550</c:v>
                </c:pt>
                <c:pt idx="172">
                  <c:v>35580</c:v>
                </c:pt>
                <c:pt idx="173">
                  <c:v>35611</c:v>
                </c:pt>
                <c:pt idx="174">
                  <c:v>35642</c:v>
                </c:pt>
                <c:pt idx="175">
                  <c:v>35671</c:v>
                </c:pt>
                <c:pt idx="176">
                  <c:v>35703</c:v>
                </c:pt>
                <c:pt idx="177">
                  <c:v>35734</c:v>
                </c:pt>
                <c:pt idx="178">
                  <c:v>35762</c:v>
                </c:pt>
                <c:pt idx="179">
                  <c:v>35795</c:v>
                </c:pt>
                <c:pt idx="180">
                  <c:v>35825</c:v>
                </c:pt>
                <c:pt idx="181">
                  <c:v>35853</c:v>
                </c:pt>
                <c:pt idx="182">
                  <c:v>35885</c:v>
                </c:pt>
                <c:pt idx="183">
                  <c:v>35915</c:v>
                </c:pt>
                <c:pt idx="184">
                  <c:v>35944</c:v>
                </c:pt>
                <c:pt idx="185">
                  <c:v>35976</c:v>
                </c:pt>
                <c:pt idx="186">
                  <c:v>36007</c:v>
                </c:pt>
                <c:pt idx="187">
                  <c:v>36038</c:v>
                </c:pt>
                <c:pt idx="188">
                  <c:v>36068</c:v>
                </c:pt>
                <c:pt idx="189">
                  <c:v>36098</c:v>
                </c:pt>
                <c:pt idx="190">
                  <c:v>36129</c:v>
                </c:pt>
                <c:pt idx="191">
                  <c:v>36160</c:v>
                </c:pt>
                <c:pt idx="192">
                  <c:v>36189</c:v>
                </c:pt>
                <c:pt idx="193">
                  <c:v>36217</c:v>
                </c:pt>
                <c:pt idx="194">
                  <c:v>36250</c:v>
                </c:pt>
                <c:pt idx="195">
                  <c:v>36280</c:v>
                </c:pt>
                <c:pt idx="196">
                  <c:v>36311</c:v>
                </c:pt>
                <c:pt idx="197">
                  <c:v>36341</c:v>
                </c:pt>
                <c:pt idx="198">
                  <c:v>36371</c:v>
                </c:pt>
                <c:pt idx="199">
                  <c:v>36403</c:v>
                </c:pt>
                <c:pt idx="200">
                  <c:v>36433</c:v>
                </c:pt>
                <c:pt idx="201">
                  <c:v>36462</c:v>
                </c:pt>
                <c:pt idx="202">
                  <c:v>36494</c:v>
                </c:pt>
                <c:pt idx="203">
                  <c:v>36525</c:v>
                </c:pt>
                <c:pt idx="204">
                  <c:v>36556</c:v>
                </c:pt>
                <c:pt idx="205">
                  <c:v>36585</c:v>
                </c:pt>
                <c:pt idx="206">
                  <c:v>36616</c:v>
                </c:pt>
                <c:pt idx="207">
                  <c:v>36644</c:v>
                </c:pt>
                <c:pt idx="208">
                  <c:v>36677</c:v>
                </c:pt>
                <c:pt idx="209">
                  <c:v>36707</c:v>
                </c:pt>
                <c:pt idx="210">
                  <c:v>36738</c:v>
                </c:pt>
                <c:pt idx="211">
                  <c:v>36769</c:v>
                </c:pt>
                <c:pt idx="212">
                  <c:v>36798</c:v>
                </c:pt>
                <c:pt idx="213">
                  <c:v>36830</c:v>
                </c:pt>
                <c:pt idx="214">
                  <c:v>36860</c:v>
                </c:pt>
                <c:pt idx="215">
                  <c:v>36889</c:v>
                </c:pt>
                <c:pt idx="216">
                  <c:v>36922</c:v>
                </c:pt>
                <c:pt idx="217">
                  <c:v>36950</c:v>
                </c:pt>
                <c:pt idx="218">
                  <c:v>36980</c:v>
                </c:pt>
                <c:pt idx="219">
                  <c:v>37011</c:v>
                </c:pt>
                <c:pt idx="220">
                  <c:v>37042</c:v>
                </c:pt>
                <c:pt idx="221">
                  <c:v>37071</c:v>
                </c:pt>
                <c:pt idx="222">
                  <c:v>37103</c:v>
                </c:pt>
                <c:pt idx="223">
                  <c:v>37134</c:v>
                </c:pt>
                <c:pt idx="224">
                  <c:v>37162</c:v>
                </c:pt>
                <c:pt idx="225">
                  <c:v>37195</c:v>
                </c:pt>
                <c:pt idx="226">
                  <c:v>37225</c:v>
                </c:pt>
                <c:pt idx="227">
                  <c:v>37256</c:v>
                </c:pt>
                <c:pt idx="228">
                  <c:v>37287</c:v>
                </c:pt>
                <c:pt idx="229">
                  <c:v>37315</c:v>
                </c:pt>
                <c:pt idx="230">
                  <c:v>37344</c:v>
                </c:pt>
                <c:pt idx="231">
                  <c:v>37376</c:v>
                </c:pt>
                <c:pt idx="232">
                  <c:v>37407</c:v>
                </c:pt>
                <c:pt idx="233">
                  <c:v>37435</c:v>
                </c:pt>
                <c:pt idx="234">
                  <c:v>37468</c:v>
                </c:pt>
                <c:pt idx="235">
                  <c:v>37498</c:v>
                </c:pt>
                <c:pt idx="236">
                  <c:v>37529</c:v>
                </c:pt>
                <c:pt idx="237">
                  <c:v>37560</c:v>
                </c:pt>
                <c:pt idx="238">
                  <c:v>37589</c:v>
                </c:pt>
                <c:pt idx="239">
                  <c:v>37621</c:v>
                </c:pt>
                <c:pt idx="240">
                  <c:v>37652</c:v>
                </c:pt>
                <c:pt idx="241">
                  <c:v>37680</c:v>
                </c:pt>
                <c:pt idx="242">
                  <c:v>37711</c:v>
                </c:pt>
                <c:pt idx="243">
                  <c:v>37741</c:v>
                </c:pt>
                <c:pt idx="244">
                  <c:v>37771</c:v>
                </c:pt>
                <c:pt idx="245">
                  <c:v>37802</c:v>
                </c:pt>
                <c:pt idx="246">
                  <c:v>37833</c:v>
                </c:pt>
                <c:pt idx="247">
                  <c:v>37862</c:v>
                </c:pt>
                <c:pt idx="248">
                  <c:v>37894</c:v>
                </c:pt>
                <c:pt idx="249">
                  <c:v>37925</c:v>
                </c:pt>
                <c:pt idx="250">
                  <c:v>37953</c:v>
                </c:pt>
                <c:pt idx="251">
                  <c:v>37986</c:v>
                </c:pt>
                <c:pt idx="252">
                  <c:v>38016</c:v>
                </c:pt>
                <c:pt idx="253">
                  <c:v>38044</c:v>
                </c:pt>
                <c:pt idx="254">
                  <c:v>38077</c:v>
                </c:pt>
                <c:pt idx="255">
                  <c:v>38107</c:v>
                </c:pt>
                <c:pt idx="256">
                  <c:v>38138</c:v>
                </c:pt>
                <c:pt idx="257">
                  <c:v>38168</c:v>
                </c:pt>
                <c:pt idx="258">
                  <c:v>38198</c:v>
                </c:pt>
                <c:pt idx="259">
                  <c:v>38230</c:v>
                </c:pt>
                <c:pt idx="260">
                  <c:v>38260</c:v>
                </c:pt>
                <c:pt idx="261">
                  <c:v>38289</c:v>
                </c:pt>
                <c:pt idx="262">
                  <c:v>38321</c:v>
                </c:pt>
                <c:pt idx="263">
                  <c:v>38352</c:v>
                </c:pt>
                <c:pt idx="264">
                  <c:v>38383</c:v>
                </c:pt>
                <c:pt idx="265">
                  <c:v>38411</c:v>
                </c:pt>
                <c:pt idx="266">
                  <c:v>38442</c:v>
                </c:pt>
                <c:pt idx="267">
                  <c:v>38471</c:v>
                </c:pt>
                <c:pt idx="268">
                  <c:v>38503</c:v>
                </c:pt>
                <c:pt idx="269">
                  <c:v>38533</c:v>
                </c:pt>
                <c:pt idx="270">
                  <c:v>38562</c:v>
                </c:pt>
                <c:pt idx="271">
                  <c:v>38595</c:v>
                </c:pt>
                <c:pt idx="272">
                  <c:v>38625</c:v>
                </c:pt>
                <c:pt idx="273">
                  <c:v>38656</c:v>
                </c:pt>
                <c:pt idx="274">
                  <c:v>38686</c:v>
                </c:pt>
                <c:pt idx="275">
                  <c:v>38716</c:v>
                </c:pt>
                <c:pt idx="276">
                  <c:v>38748</c:v>
                </c:pt>
                <c:pt idx="277">
                  <c:v>38776</c:v>
                </c:pt>
                <c:pt idx="278">
                  <c:v>38807</c:v>
                </c:pt>
                <c:pt idx="279">
                  <c:v>38835</c:v>
                </c:pt>
                <c:pt idx="280">
                  <c:v>38868</c:v>
                </c:pt>
                <c:pt idx="281">
                  <c:v>38898</c:v>
                </c:pt>
                <c:pt idx="282">
                  <c:v>38929</c:v>
                </c:pt>
                <c:pt idx="283">
                  <c:v>38960</c:v>
                </c:pt>
                <c:pt idx="284">
                  <c:v>38989</c:v>
                </c:pt>
                <c:pt idx="285">
                  <c:v>39021</c:v>
                </c:pt>
                <c:pt idx="286">
                  <c:v>39051</c:v>
                </c:pt>
                <c:pt idx="287">
                  <c:v>39080</c:v>
                </c:pt>
                <c:pt idx="288">
                  <c:v>39113</c:v>
                </c:pt>
                <c:pt idx="289">
                  <c:v>39141</c:v>
                </c:pt>
                <c:pt idx="290">
                  <c:v>39171</c:v>
                </c:pt>
                <c:pt idx="291">
                  <c:v>39202</c:v>
                </c:pt>
                <c:pt idx="292">
                  <c:v>39233</c:v>
                </c:pt>
                <c:pt idx="293">
                  <c:v>39262</c:v>
                </c:pt>
                <c:pt idx="294">
                  <c:v>39294</c:v>
                </c:pt>
                <c:pt idx="295">
                  <c:v>39325</c:v>
                </c:pt>
                <c:pt idx="296">
                  <c:v>39353</c:v>
                </c:pt>
                <c:pt idx="297">
                  <c:v>39386</c:v>
                </c:pt>
                <c:pt idx="298">
                  <c:v>39416</c:v>
                </c:pt>
                <c:pt idx="299">
                  <c:v>39447</c:v>
                </c:pt>
                <c:pt idx="300">
                  <c:v>39478</c:v>
                </c:pt>
                <c:pt idx="301">
                  <c:v>39507</c:v>
                </c:pt>
                <c:pt idx="302">
                  <c:v>39538</c:v>
                </c:pt>
                <c:pt idx="303">
                  <c:v>39568</c:v>
                </c:pt>
                <c:pt idx="304">
                  <c:v>39598</c:v>
                </c:pt>
                <c:pt idx="305">
                  <c:v>39629</c:v>
                </c:pt>
                <c:pt idx="306">
                  <c:v>39660</c:v>
                </c:pt>
                <c:pt idx="307">
                  <c:v>39689</c:v>
                </c:pt>
                <c:pt idx="308">
                  <c:v>39721</c:v>
                </c:pt>
                <c:pt idx="309">
                  <c:v>39752</c:v>
                </c:pt>
                <c:pt idx="310">
                  <c:v>39780</c:v>
                </c:pt>
                <c:pt idx="311">
                  <c:v>39813</c:v>
                </c:pt>
                <c:pt idx="312">
                  <c:v>39843</c:v>
                </c:pt>
                <c:pt idx="313">
                  <c:v>39871</c:v>
                </c:pt>
                <c:pt idx="314">
                  <c:v>39903</c:v>
                </c:pt>
                <c:pt idx="315">
                  <c:v>39933</c:v>
                </c:pt>
                <c:pt idx="316">
                  <c:v>39962</c:v>
                </c:pt>
                <c:pt idx="317">
                  <c:v>39994</c:v>
                </c:pt>
                <c:pt idx="318">
                  <c:v>40025</c:v>
                </c:pt>
                <c:pt idx="319">
                  <c:v>40056</c:v>
                </c:pt>
                <c:pt idx="320">
                  <c:v>40086</c:v>
                </c:pt>
                <c:pt idx="321">
                  <c:v>40116</c:v>
                </c:pt>
                <c:pt idx="322">
                  <c:v>40147</c:v>
                </c:pt>
                <c:pt idx="323">
                  <c:v>40178</c:v>
                </c:pt>
                <c:pt idx="324">
                  <c:v>40207</c:v>
                </c:pt>
                <c:pt idx="325">
                  <c:v>40235</c:v>
                </c:pt>
                <c:pt idx="326">
                  <c:v>40268</c:v>
                </c:pt>
                <c:pt idx="327">
                  <c:v>40298</c:v>
                </c:pt>
                <c:pt idx="328">
                  <c:v>40329</c:v>
                </c:pt>
                <c:pt idx="329">
                  <c:v>40359</c:v>
                </c:pt>
                <c:pt idx="330">
                  <c:v>40389</c:v>
                </c:pt>
                <c:pt idx="331">
                  <c:v>40421</c:v>
                </c:pt>
                <c:pt idx="332">
                  <c:v>40451</c:v>
                </c:pt>
                <c:pt idx="333">
                  <c:v>40480</c:v>
                </c:pt>
                <c:pt idx="334">
                  <c:v>40512</c:v>
                </c:pt>
                <c:pt idx="335">
                  <c:v>40543</c:v>
                </c:pt>
                <c:pt idx="336">
                  <c:v>40574</c:v>
                </c:pt>
                <c:pt idx="337">
                  <c:v>40602</c:v>
                </c:pt>
                <c:pt idx="338">
                  <c:v>40633</c:v>
                </c:pt>
                <c:pt idx="339">
                  <c:v>40662</c:v>
                </c:pt>
                <c:pt idx="340">
                  <c:v>40694</c:v>
                </c:pt>
                <c:pt idx="341">
                  <c:v>40724</c:v>
                </c:pt>
                <c:pt idx="342">
                  <c:v>40753</c:v>
                </c:pt>
                <c:pt idx="343">
                  <c:v>40786</c:v>
                </c:pt>
                <c:pt idx="344">
                  <c:v>40816</c:v>
                </c:pt>
                <c:pt idx="345">
                  <c:v>40847</c:v>
                </c:pt>
                <c:pt idx="346">
                  <c:v>40877</c:v>
                </c:pt>
                <c:pt idx="347">
                  <c:v>40907</c:v>
                </c:pt>
                <c:pt idx="348">
                  <c:v>40939</c:v>
                </c:pt>
                <c:pt idx="349">
                  <c:v>40968</c:v>
                </c:pt>
                <c:pt idx="350">
                  <c:v>40998</c:v>
                </c:pt>
                <c:pt idx="351">
                  <c:v>41029</c:v>
                </c:pt>
                <c:pt idx="352">
                  <c:v>41060</c:v>
                </c:pt>
                <c:pt idx="353">
                  <c:v>41089</c:v>
                </c:pt>
                <c:pt idx="354">
                  <c:v>41121</c:v>
                </c:pt>
                <c:pt idx="355">
                  <c:v>41152</c:v>
                </c:pt>
                <c:pt idx="356">
                  <c:v>41180</c:v>
                </c:pt>
                <c:pt idx="357">
                  <c:v>41213</c:v>
                </c:pt>
                <c:pt idx="358">
                  <c:v>41243</c:v>
                </c:pt>
                <c:pt idx="359">
                  <c:v>41274</c:v>
                </c:pt>
                <c:pt idx="360">
                  <c:v>41305</c:v>
                </c:pt>
                <c:pt idx="361">
                  <c:v>41333</c:v>
                </c:pt>
                <c:pt idx="362">
                  <c:v>41362</c:v>
                </c:pt>
                <c:pt idx="363">
                  <c:v>41394</c:v>
                </c:pt>
                <c:pt idx="364">
                  <c:v>41425</c:v>
                </c:pt>
                <c:pt idx="365">
                  <c:v>41453</c:v>
                </c:pt>
                <c:pt idx="366">
                  <c:v>41486</c:v>
                </c:pt>
                <c:pt idx="367">
                  <c:v>41516</c:v>
                </c:pt>
                <c:pt idx="368">
                  <c:v>41547</c:v>
                </c:pt>
                <c:pt idx="369">
                  <c:v>41578</c:v>
                </c:pt>
                <c:pt idx="370">
                  <c:v>41607</c:v>
                </c:pt>
                <c:pt idx="371">
                  <c:v>41639</c:v>
                </c:pt>
                <c:pt idx="372">
                  <c:v>41670</c:v>
                </c:pt>
                <c:pt idx="373">
                  <c:v>41698</c:v>
                </c:pt>
                <c:pt idx="374">
                  <c:v>41729</c:v>
                </c:pt>
                <c:pt idx="375">
                  <c:v>41759</c:v>
                </c:pt>
                <c:pt idx="376">
                  <c:v>41789</c:v>
                </c:pt>
                <c:pt idx="377">
                  <c:v>41820</c:v>
                </c:pt>
                <c:pt idx="378">
                  <c:v>41851</c:v>
                </c:pt>
                <c:pt idx="379">
                  <c:v>41880</c:v>
                </c:pt>
                <c:pt idx="380">
                  <c:v>41912</c:v>
                </c:pt>
                <c:pt idx="381">
                  <c:v>41943</c:v>
                </c:pt>
                <c:pt idx="382">
                  <c:v>41971</c:v>
                </c:pt>
                <c:pt idx="383">
                  <c:v>42004</c:v>
                </c:pt>
                <c:pt idx="384">
                  <c:v>42034</c:v>
                </c:pt>
                <c:pt idx="385">
                  <c:v>42062</c:v>
                </c:pt>
                <c:pt idx="386">
                  <c:v>42094</c:v>
                </c:pt>
                <c:pt idx="387">
                  <c:v>42124</c:v>
                </c:pt>
                <c:pt idx="388">
                  <c:v>42153</c:v>
                </c:pt>
                <c:pt idx="389">
                  <c:v>42185</c:v>
                </c:pt>
                <c:pt idx="390">
                  <c:v>42216</c:v>
                </c:pt>
                <c:pt idx="391">
                  <c:v>42247</c:v>
                </c:pt>
                <c:pt idx="392">
                  <c:v>42277</c:v>
                </c:pt>
                <c:pt idx="393">
                  <c:v>42307</c:v>
                </c:pt>
                <c:pt idx="394">
                  <c:v>42338</c:v>
                </c:pt>
                <c:pt idx="395">
                  <c:v>42369</c:v>
                </c:pt>
                <c:pt idx="396">
                  <c:v>42398</c:v>
                </c:pt>
                <c:pt idx="397">
                  <c:v>42429</c:v>
                </c:pt>
                <c:pt idx="398">
                  <c:v>42460</c:v>
                </c:pt>
                <c:pt idx="399">
                  <c:v>42489</c:v>
                </c:pt>
                <c:pt idx="400">
                  <c:v>42521</c:v>
                </c:pt>
                <c:pt idx="401">
                  <c:v>42551</c:v>
                </c:pt>
                <c:pt idx="402">
                  <c:v>42580</c:v>
                </c:pt>
                <c:pt idx="403">
                  <c:v>42613</c:v>
                </c:pt>
                <c:pt idx="404">
                  <c:v>42643</c:v>
                </c:pt>
                <c:pt idx="405">
                  <c:v>42674</c:v>
                </c:pt>
                <c:pt idx="406">
                  <c:v>42704</c:v>
                </c:pt>
                <c:pt idx="407">
                  <c:v>42734</c:v>
                </c:pt>
                <c:pt idx="408">
                  <c:v>42766</c:v>
                </c:pt>
                <c:pt idx="409">
                  <c:v>42794</c:v>
                </c:pt>
                <c:pt idx="410">
                  <c:v>42825</c:v>
                </c:pt>
                <c:pt idx="411">
                  <c:v>42853</c:v>
                </c:pt>
                <c:pt idx="412">
                  <c:v>42886</c:v>
                </c:pt>
                <c:pt idx="413">
                  <c:v>42916</c:v>
                </c:pt>
                <c:pt idx="414">
                  <c:v>42947</c:v>
                </c:pt>
                <c:pt idx="415">
                  <c:v>42978</c:v>
                </c:pt>
                <c:pt idx="416">
                  <c:v>43007</c:v>
                </c:pt>
                <c:pt idx="417">
                  <c:v>43039</c:v>
                </c:pt>
                <c:pt idx="418">
                  <c:v>43069</c:v>
                </c:pt>
                <c:pt idx="419">
                  <c:v>43098</c:v>
                </c:pt>
                <c:pt idx="420">
                  <c:v>43131</c:v>
                </c:pt>
                <c:pt idx="421">
                  <c:v>43159</c:v>
                </c:pt>
                <c:pt idx="422">
                  <c:v>43189</c:v>
                </c:pt>
                <c:pt idx="423">
                  <c:v>43220</c:v>
                </c:pt>
                <c:pt idx="424">
                  <c:v>43251</c:v>
                </c:pt>
                <c:pt idx="425">
                  <c:v>43280</c:v>
                </c:pt>
                <c:pt idx="426">
                  <c:v>43312</c:v>
                </c:pt>
                <c:pt idx="427">
                  <c:v>43343</c:v>
                </c:pt>
                <c:pt idx="428">
                  <c:v>43371</c:v>
                </c:pt>
                <c:pt idx="429">
                  <c:v>43404</c:v>
                </c:pt>
                <c:pt idx="430">
                  <c:v>43434</c:v>
                </c:pt>
                <c:pt idx="431">
                  <c:v>43465</c:v>
                </c:pt>
                <c:pt idx="432">
                  <c:v>43496</c:v>
                </c:pt>
                <c:pt idx="433">
                  <c:v>43524</c:v>
                </c:pt>
                <c:pt idx="434">
                  <c:v>43553</c:v>
                </c:pt>
                <c:pt idx="435">
                  <c:v>43585</c:v>
                </c:pt>
                <c:pt idx="436">
                  <c:v>43616</c:v>
                </c:pt>
                <c:pt idx="437">
                  <c:v>43644</c:v>
                </c:pt>
                <c:pt idx="438">
                  <c:v>43677</c:v>
                </c:pt>
                <c:pt idx="439">
                  <c:v>43707</c:v>
                </c:pt>
                <c:pt idx="440">
                  <c:v>43738</c:v>
                </c:pt>
                <c:pt idx="441">
                  <c:v>43769</c:v>
                </c:pt>
                <c:pt idx="442">
                  <c:v>43798</c:v>
                </c:pt>
                <c:pt idx="443">
                  <c:v>43830</c:v>
                </c:pt>
                <c:pt idx="444">
                  <c:v>43861</c:v>
                </c:pt>
                <c:pt idx="445">
                  <c:v>43889</c:v>
                </c:pt>
                <c:pt idx="446">
                  <c:v>43921</c:v>
                </c:pt>
                <c:pt idx="447">
                  <c:v>43951</c:v>
                </c:pt>
                <c:pt idx="448">
                  <c:v>43980</c:v>
                </c:pt>
                <c:pt idx="449">
                  <c:v>44012</c:v>
                </c:pt>
                <c:pt idx="450">
                  <c:v>44043</c:v>
                </c:pt>
                <c:pt idx="451">
                  <c:v>44074</c:v>
                </c:pt>
                <c:pt idx="452">
                  <c:v>44104</c:v>
                </c:pt>
                <c:pt idx="453">
                  <c:v>44134</c:v>
                </c:pt>
                <c:pt idx="454">
                  <c:v>44165</c:v>
                </c:pt>
                <c:pt idx="455">
                  <c:v>44196</c:v>
                </c:pt>
                <c:pt idx="456">
                  <c:v>44225</c:v>
                </c:pt>
                <c:pt idx="457">
                  <c:v>44253</c:v>
                </c:pt>
                <c:pt idx="458">
                  <c:v>44286</c:v>
                </c:pt>
                <c:pt idx="459">
                  <c:v>44316</c:v>
                </c:pt>
                <c:pt idx="460">
                  <c:v>44347</c:v>
                </c:pt>
                <c:pt idx="461">
                  <c:v>44377</c:v>
                </c:pt>
                <c:pt idx="462">
                  <c:v>44407</c:v>
                </c:pt>
                <c:pt idx="463">
                  <c:v>44439</c:v>
                </c:pt>
                <c:pt idx="464">
                  <c:v>44469</c:v>
                </c:pt>
                <c:pt idx="465">
                  <c:v>44498</c:v>
                </c:pt>
                <c:pt idx="466">
                  <c:v>44530</c:v>
                </c:pt>
                <c:pt idx="467">
                  <c:v>44561</c:v>
                </c:pt>
                <c:pt idx="468">
                  <c:v>44592</c:v>
                </c:pt>
                <c:pt idx="469">
                  <c:v>44620</c:v>
                </c:pt>
                <c:pt idx="470">
                  <c:v>44651</c:v>
                </c:pt>
                <c:pt idx="471">
                  <c:v>44680</c:v>
                </c:pt>
                <c:pt idx="472">
                  <c:v>44712</c:v>
                </c:pt>
                <c:pt idx="473">
                  <c:v>44742</c:v>
                </c:pt>
                <c:pt idx="474">
                  <c:v>44771</c:v>
                </c:pt>
                <c:pt idx="475">
                  <c:v>44804</c:v>
                </c:pt>
                <c:pt idx="476">
                  <c:v>44834</c:v>
                </c:pt>
                <c:pt idx="477">
                  <c:v>44865</c:v>
                </c:pt>
                <c:pt idx="478">
                  <c:v>44895</c:v>
                </c:pt>
                <c:pt idx="479">
                  <c:v>44925</c:v>
                </c:pt>
                <c:pt idx="480">
                  <c:v>44957</c:v>
                </c:pt>
                <c:pt idx="481">
                  <c:v>44985</c:v>
                </c:pt>
                <c:pt idx="482">
                  <c:v>45016</c:v>
                </c:pt>
                <c:pt idx="483">
                  <c:v>45044</c:v>
                </c:pt>
                <c:pt idx="484">
                  <c:v>45077</c:v>
                </c:pt>
                <c:pt idx="485">
                  <c:v>45107</c:v>
                </c:pt>
                <c:pt idx="486">
                  <c:v>45138</c:v>
                </c:pt>
                <c:pt idx="487">
                  <c:v>45169</c:v>
                </c:pt>
                <c:pt idx="488">
                  <c:v>45198</c:v>
                </c:pt>
                <c:pt idx="489">
                  <c:v>45230</c:v>
                </c:pt>
                <c:pt idx="490">
                  <c:v>45260</c:v>
                </c:pt>
                <c:pt idx="491">
                  <c:v>45289</c:v>
                </c:pt>
                <c:pt idx="492">
                  <c:v>45322</c:v>
                </c:pt>
                <c:pt idx="493">
                  <c:v>45351</c:v>
                </c:pt>
                <c:pt idx="494">
                  <c:v>45380</c:v>
                </c:pt>
                <c:pt idx="495">
                  <c:v>45412</c:v>
                </c:pt>
                <c:pt idx="496">
                  <c:v>45443</c:v>
                </c:pt>
                <c:pt idx="497">
                  <c:v>45471</c:v>
                </c:pt>
                <c:pt idx="498">
                  <c:v>45504</c:v>
                </c:pt>
                <c:pt idx="499">
                  <c:v>45534</c:v>
                </c:pt>
                <c:pt idx="500">
                  <c:v>45565</c:v>
                </c:pt>
                <c:pt idx="501">
                  <c:v>45596</c:v>
                </c:pt>
                <c:pt idx="502">
                  <c:v>45625</c:v>
                </c:pt>
                <c:pt idx="503">
                  <c:v>45657</c:v>
                </c:pt>
                <c:pt idx="504">
                  <c:v>45688</c:v>
                </c:pt>
                <c:pt idx="505">
                  <c:v>45716</c:v>
                </c:pt>
                <c:pt idx="506">
                  <c:v>45747</c:v>
                </c:pt>
              </c:numCache>
            </c:numRef>
          </c:cat>
          <c:val>
            <c:numRef>
              <c:f>'Raw Data'!$B$126:$B$700</c:f>
              <c:numCache>
                <c:formatCode>0.0</c:formatCode>
                <c:ptCount val="575"/>
                <c:pt idx="0">
                  <c:v>10.6</c:v>
                </c:pt>
                <c:pt idx="1">
                  <c:v>10.8</c:v>
                </c:pt>
                <c:pt idx="2">
                  <c:v>11.1</c:v>
                </c:pt>
                <c:pt idx="3">
                  <c:v>11.9</c:v>
                </c:pt>
                <c:pt idx="4">
                  <c:v>11.6</c:v>
                </c:pt>
                <c:pt idx="5">
                  <c:v>11.7</c:v>
                </c:pt>
                <c:pt idx="6">
                  <c:v>11.3</c:v>
                </c:pt>
                <c:pt idx="7">
                  <c:v>11.4</c:v>
                </c:pt>
                <c:pt idx="8">
                  <c:v>11.3</c:v>
                </c:pt>
                <c:pt idx="9">
                  <c:v>11.1</c:v>
                </c:pt>
                <c:pt idx="10">
                  <c:v>11.2</c:v>
                </c:pt>
                <c:pt idx="11">
                  <c:v>11.1</c:v>
                </c:pt>
                <c:pt idx="12">
                  <c:v>10.5</c:v>
                </c:pt>
                <c:pt idx="13">
                  <c:v>10</c:v>
                </c:pt>
                <c:pt idx="14">
                  <c:v>10.1</c:v>
                </c:pt>
                <c:pt idx="15">
                  <c:v>9.6</c:v>
                </c:pt>
                <c:pt idx="16">
                  <c:v>8.9</c:v>
                </c:pt>
                <c:pt idx="17">
                  <c:v>9.1</c:v>
                </c:pt>
                <c:pt idx="18">
                  <c:v>8.6999999999999993</c:v>
                </c:pt>
                <c:pt idx="19">
                  <c:v>9.6</c:v>
                </c:pt>
                <c:pt idx="20">
                  <c:v>9.6</c:v>
                </c:pt>
                <c:pt idx="21">
                  <c:v>9.5</c:v>
                </c:pt>
                <c:pt idx="22">
                  <c:v>9.4</c:v>
                </c:pt>
                <c:pt idx="23">
                  <c:v>9.6</c:v>
                </c:pt>
                <c:pt idx="24">
                  <c:v>10.3</c:v>
                </c:pt>
                <c:pt idx="25">
                  <c:v>10.5</c:v>
                </c:pt>
                <c:pt idx="26">
                  <c:v>10.5</c:v>
                </c:pt>
                <c:pt idx="27">
                  <c:v>10.6</c:v>
                </c:pt>
                <c:pt idx="28">
                  <c:v>11.3</c:v>
                </c:pt>
                <c:pt idx="29">
                  <c:v>11.4</c:v>
                </c:pt>
                <c:pt idx="30">
                  <c:v>11.4</c:v>
                </c:pt>
                <c:pt idx="31">
                  <c:v>11.3</c:v>
                </c:pt>
                <c:pt idx="32">
                  <c:v>11.1</c:v>
                </c:pt>
                <c:pt idx="33">
                  <c:v>11.6</c:v>
                </c:pt>
                <c:pt idx="34">
                  <c:v>12.4</c:v>
                </c:pt>
                <c:pt idx="35">
                  <c:v>13</c:v>
                </c:pt>
                <c:pt idx="36">
                  <c:v>13.1</c:v>
                </c:pt>
                <c:pt idx="37">
                  <c:v>14</c:v>
                </c:pt>
                <c:pt idx="38">
                  <c:v>14.5</c:v>
                </c:pt>
                <c:pt idx="39">
                  <c:v>14.4</c:v>
                </c:pt>
                <c:pt idx="40">
                  <c:v>15.1</c:v>
                </c:pt>
                <c:pt idx="41">
                  <c:v>15</c:v>
                </c:pt>
                <c:pt idx="42">
                  <c:v>14.2</c:v>
                </c:pt>
                <c:pt idx="43">
                  <c:v>15.1</c:v>
                </c:pt>
                <c:pt idx="44">
                  <c:v>13.5</c:v>
                </c:pt>
                <c:pt idx="45">
                  <c:v>14.2</c:v>
                </c:pt>
                <c:pt idx="46">
                  <c:v>14.5</c:v>
                </c:pt>
                <c:pt idx="47">
                  <c:v>13.9</c:v>
                </c:pt>
                <c:pt idx="48">
                  <c:v>15.8</c:v>
                </c:pt>
                <c:pt idx="49">
                  <c:v>16.2</c:v>
                </c:pt>
                <c:pt idx="50">
                  <c:v>16.2</c:v>
                </c:pt>
                <c:pt idx="51">
                  <c:v>15.9</c:v>
                </c:pt>
                <c:pt idx="52">
                  <c:v>15.9</c:v>
                </c:pt>
                <c:pt idx="53">
                  <c:v>16.899999999999999</c:v>
                </c:pt>
                <c:pt idx="54">
                  <c:v>17.5</c:v>
                </c:pt>
                <c:pt idx="55">
                  <c:v>18.3</c:v>
                </c:pt>
                <c:pt idx="56">
                  <c:v>16.899999999999999</c:v>
                </c:pt>
                <c:pt idx="57">
                  <c:v>13.5</c:v>
                </c:pt>
                <c:pt idx="58">
                  <c:v>12.3</c:v>
                </c:pt>
                <c:pt idx="59">
                  <c:v>12.4</c:v>
                </c:pt>
                <c:pt idx="60">
                  <c:v>12.9</c:v>
                </c:pt>
                <c:pt idx="61">
                  <c:v>13.4</c:v>
                </c:pt>
                <c:pt idx="62">
                  <c:v>12.4</c:v>
                </c:pt>
                <c:pt idx="63">
                  <c:v>12.5</c:v>
                </c:pt>
                <c:pt idx="64">
                  <c:v>12.4</c:v>
                </c:pt>
                <c:pt idx="65">
                  <c:v>12.1</c:v>
                </c:pt>
                <c:pt idx="66">
                  <c:v>12.1</c:v>
                </c:pt>
                <c:pt idx="67">
                  <c:v>11.7</c:v>
                </c:pt>
                <c:pt idx="68">
                  <c:v>11.9</c:v>
                </c:pt>
                <c:pt idx="69">
                  <c:v>12</c:v>
                </c:pt>
                <c:pt idx="70">
                  <c:v>11.7</c:v>
                </c:pt>
                <c:pt idx="71">
                  <c:v>12.1</c:v>
                </c:pt>
                <c:pt idx="72">
                  <c:v>12.5</c:v>
                </c:pt>
                <c:pt idx="73">
                  <c:v>12.1</c:v>
                </c:pt>
                <c:pt idx="74">
                  <c:v>12.4</c:v>
                </c:pt>
                <c:pt idx="75">
                  <c:v>12.7</c:v>
                </c:pt>
                <c:pt idx="76">
                  <c:v>13.1</c:v>
                </c:pt>
                <c:pt idx="77">
                  <c:v>13</c:v>
                </c:pt>
                <c:pt idx="78">
                  <c:v>14</c:v>
                </c:pt>
                <c:pt idx="79">
                  <c:v>14.1</c:v>
                </c:pt>
                <c:pt idx="80">
                  <c:v>14.1</c:v>
                </c:pt>
                <c:pt idx="81">
                  <c:v>14.1</c:v>
                </c:pt>
                <c:pt idx="82">
                  <c:v>14.4</c:v>
                </c:pt>
                <c:pt idx="83">
                  <c:v>14.7</c:v>
                </c:pt>
                <c:pt idx="84">
                  <c:v>13.8</c:v>
                </c:pt>
                <c:pt idx="85">
                  <c:v>13.8</c:v>
                </c:pt>
                <c:pt idx="86">
                  <c:v>14.1</c:v>
                </c:pt>
                <c:pt idx="87">
                  <c:v>14.1</c:v>
                </c:pt>
                <c:pt idx="88">
                  <c:v>15.7</c:v>
                </c:pt>
                <c:pt idx="89">
                  <c:v>15.7</c:v>
                </c:pt>
                <c:pt idx="90">
                  <c:v>15.5</c:v>
                </c:pt>
                <c:pt idx="91">
                  <c:v>14</c:v>
                </c:pt>
                <c:pt idx="92">
                  <c:v>13.3</c:v>
                </c:pt>
                <c:pt idx="93">
                  <c:v>13.1</c:v>
                </c:pt>
                <c:pt idx="94">
                  <c:v>14.1</c:v>
                </c:pt>
                <c:pt idx="95">
                  <c:v>14.5</c:v>
                </c:pt>
                <c:pt idx="96">
                  <c:v>14.8</c:v>
                </c:pt>
                <c:pt idx="97">
                  <c:v>16</c:v>
                </c:pt>
                <c:pt idx="98">
                  <c:v>16.5</c:v>
                </c:pt>
                <c:pt idx="99">
                  <c:v>16.3</c:v>
                </c:pt>
                <c:pt idx="100">
                  <c:v>16.899999999999999</c:v>
                </c:pt>
                <c:pt idx="101">
                  <c:v>16.100000000000001</c:v>
                </c:pt>
                <c:pt idx="102">
                  <c:v>16.899999999999999</c:v>
                </c:pt>
                <c:pt idx="103">
                  <c:v>17.5</c:v>
                </c:pt>
                <c:pt idx="104">
                  <c:v>17.2</c:v>
                </c:pt>
                <c:pt idx="105">
                  <c:v>17.7</c:v>
                </c:pt>
                <c:pt idx="106">
                  <c:v>17.2</c:v>
                </c:pt>
                <c:pt idx="107">
                  <c:v>19.3</c:v>
                </c:pt>
                <c:pt idx="108">
                  <c:v>20.5</c:v>
                </c:pt>
                <c:pt idx="109">
                  <c:v>20.5</c:v>
                </c:pt>
                <c:pt idx="110">
                  <c:v>20.100000000000001</c:v>
                </c:pt>
                <c:pt idx="111">
                  <c:v>20.100000000000001</c:v>
                </c:pt>
                <c:pt idx="112">
                  <c:v>20.2</c:v>
                </c:pt>
                <c:pt idx="113">
                  <c:v>19.7</c:v>
                </c:pt>
                <c:pt idx="114">
                  <c:v>20.100000000000001</c:v>
                </c:pt>
                <c:pt idx="115">
                  <c:v>19.7</c:v>
                </c:pt>
                <c:pt idx="116">
                  <c:v>19.899999999999999</c:v>
                </c:pt>
                <c:pt idx="117">
                  <c:v>19.100000000000001</c:v>
                </c:pt>
                <c:pt idx="118">
                  <c:v>19.7</c:v>
                </c:pt>
                <c:pt idx="119">
                  <c:v>19.899999999999999</c:v>
                </c:pt>
                <c:pt idx="120">
                  <c:v>19.2</c:v>
                </c:pt>
                <c:pt idx="121">
                  <c:v>19.600000000000001</c:v>
                </c:pt>
                <c:pt idx="122">
                  <c:v>19.7</c:v>
                </c:pt>
                <c:pt idx="123">
                  <c:v>18.7</c:v>
                </c:pt>
                <c:pt idx="124">
                  <c:v>19.100000000000001</c:v>
                </c:pt>
                <c:pt idx="125">
                  <c:v>19.2</c:v>
                </c:pt>
                <c:pt idx="126">
                  <c:v>19.2</c:v>
                </c:pt>
                <c:pt idx="127">
                  <c:v>19.8</c:v>
                </c:pt>
                <c:pt idx="128">
                  <c:v>19.600000000000001</c:v>
                </c:pt>
                <c:pt idx="129">
                  <c:v>20</c:v>
                </c:pt>
                <c:pt idx="130">
                  <c:v>19.7</c:v>
                </c:pt>
                <c:pt idx="131">
                  <c:v>20</c:v>
                </c:pt>
                <c:pt idx="132">
                  <c:v>20.5</c:v>
                </c:pt>
                <c:pt idx="133">
                  <c:v>19.5</c:v>
                </c:pt>
                <c:pt idx="134">
                  <c:v>18.600000000000001</c:v>
                </c:pt>
                <c:pt idx="135">
                  <c:v>18.3</c:v>
                </c:pt>
                <c:pt idx="136">
                  <c:v>18.3</c:v>
                </c:pt>
                <c:pt idx="137">
                  <c:v>17.7</c:v>
                </c:pt>
                <c:pt idx="138">
                  <c:v>17.600000000000001</c:v>
                </c:pt>
                <c:pt idx="139">
                  <c:v>17.8</c:v>
                </c:pt>
                <c:pt idx="140">
                  <c:v>17.399999999999999</c:v>
                </c:pt>
                <c:pt idx="141">
                  <c:v>16.8</c:v>
                </c:pt>
                <c:pt idx="142">
                  <c:v>16.2</c:v>
                </c:pt>
                <c:pt idx="143">
                  <c:v>16.399999999999999</c:v>
                </c:pt>
                <c:pt idx="144">
                  <c:v>15.9</c:v>
                </c:pt>
                <c:pt idx="145">
                  <c:v>16.3</c:v>
                </c:pt>
                <c:pt idx="146">
                  <c:v>16.7</c:v>
                </c:pt>
                <c:pt idx="147">
                  <c:v>16.3</c:v>
                </c:pt>
                <c:pt idx="148">
                  <c:v>16.7</c:v>
                </c:pt>
                <c:pt idx="149">
                  <c:v>17.100000000000001</c:v>
                </c:pt>
                <c:pt idx="150">
                  <c:v>16.899999999999999</c:v>
                </c:pt>
                <c:pt idx="151">
                  <c:v>16.8</c:v>
                </c:pt>
                <c:pt idx="152">
                  <c:v>17.600000000000001</c:v>
                </c:pt>
                <c:pt idx="153">
                  <c:v>17.2</c:v>
                </c:pt>
                <c:pt idx="154">
                  <c:v>18</c:v>
                </c:pt>
                <c:pt idx="155">
                  <c:v>18.2</c:v>
                </c:pt>
                <c:pt idx="156">
                  <c:v>19</c:v>
                </c:pt>
                <c:pt idx="157">
                  <c:v>18.899999999999999</c:v>
                </c:pt>
                <c:pt idx="158">
                  <c:v>19</c:v>
                </c:pt>
                <c:pt idx="159">
                  <c:v>18.899999999999999</c:v>
                </c:pt>
                <c:pt idx="160">
                  <c:v>19.399999999999999</c:v>
                </c:pt>
                <c:pt idx="161">
                  <c:v>19.5</c:v>
                </c:pt>
                <c:pt idx="162">
                  <c:v>18.399999999999999</c:v>
                </c:pt>
                <c:pt idx="163">
                  <c:v>18.600000000000001</c:v>
                </c:pt>
                <c:pt idx="164">
                  <c:v>19.7</c:v>
                </c:pt>
                <c:pt idx="165">
                  <c:v>19.7</c:v>
                </c:pt>
                <c:pt idx="166">
                  <c:v>21.1</c:v>
                </c:pt>
                <c:pt idx="167">
                  <c:v>20.8</c:v>
                </c:pt>
                <c:pt idx="168">
                  <c:v>21</c:v>
                </c:pt>
                <c:pt idx="169">
                  <c:v>21.1</c:v>
                </c:pt>
                <c:pt idx="170">
                  <c:v>20.100000000000001</c:v>
                </c:pt>
                <c:pt idx="171">
                  <c:v>20.5</c:v>
                </c:pt>
                <c:pt idx="172">
                  <c:v>21.6</c:v>
                </c:pt>
                <c:pt idx="173">
                  <c:v>22.5</c:v>
                </c:pt>
                <c:pt idx="174">
                  <c:v>23.9</c:v>
                </c:pt>
                <c:pt idx="175">
                  <c:v>22.6</c:v>
                </c:pt>
                <c:pt idx="176">
                  <c:v>23.7</c:v>
                </c:pt>
                <c:pt idx="177">
                  <c:v>22.5</c:v>
                </c:pt>
                <c:pt idx="178">
                  <c:v>23.5</c:v>
                </c:pt>
                <c:pt idx="179">
                  <c:v>24.1</c:v>
                </c:pt>
                <c:pt idx="180">
                  <c:v>24.1</c:v>
                </c:pt>
                <c:pt idx="181">
                  <c:v>25.8</c:v>
                </c:pt>
                <c:pt idx="182">
                  <c:v>27.2</c:v>
                </c:pt>
                <c:pt idx="183">
                  <c:v>27.1</c:v>
                </c:pt>
                <c:pt idx="184">
                  <c:v>26.5</c:v>
                </c:pt>
                <c:pt idx="185">
                  <c:v>27.5</c:v>
                </c:pt>
                <c:pt idx="186">
                  <c:v>26.5</c:v>
                </c:pt>
                <c:pt idx="187">
                  <c:v>22.5</c:v>
                </c:pt>
                <c:pt idx="188">
                  <c:v>23.9</c:v>
                </c:pt>
                <c:pt idx="189">
                  <c:v>25.1</c:v>
                </c:pt>
                <c:pt idx="190">
                  <c:v>26.4</c:v>
                </c:pt>
                <c:pt idx="191">
                  <c:v>27.9</c:v>
                </c:pt>
                <c:pt idx="192">
                  <c:v>29</c:v>
                </c:pt>
                <c:pt idx="193">
                  <c:v>28.1</c:v>
                </c:pt>
                <c:pt idx="194">
                  <c:v>29.2</c:v>
                </c:pt>
                <c:pt idx="195">
                  <c:v>30.6</c:v>
                </c:pt>
                <c:pt idx="196">
                  <c:v>30.1</c:v>
                </c:pt>
                <c:pt idx="197">
                  <c:v>31.1</c:v>
                </c:pt>
                <c:pt idx="198">
                  <c:v>29.2</c:v>
                </c:pt>
                <c:pt idx="199">
                  <c:v>29.2</c:v>
                </c:pt>
                <c:pt idx="200">
                  <c:v>28</c:v>
                </c:pt>
                <c:pt idx="201">
                  <c:v>28.6</c:v>
                </c:pt>
                <c:pt idx="202">
                  <c:v>29</c:v>
                </c:pt>
                <c:pt idx="203">
                  <c:v>30.6</c:v>
                </c:pt>
                <c:pt idx="204">
                  <c:v>28.4</c:v>
                </c:pt>
                <c:pt idx="205">
                  <c:v>27.4</c:v>
                </c:pt>
                <c:pt idx="206">
                  <c:v>29.6</c:v>
                </c:pt>
                <c:pt idx="207">
                  <c:v>29.2</c:v>
                </c:pt>
                <c:pt idx="208">
                  <c:v>28.2</c:v>
                </c:pt>
                <c:pt idx="209">
                  <c:v>29.4</c:v>
                </c:pt>
                <c:pt idx="210">
                  <c:v>28.7</c:v>
                </c:pt>
                <c:pt idx="211">
                  <c:v>30.1</c:v>
                </c:pt>
                <c:pt idx="212">
                  <c:v>28.5</c:v>
                </c:pt>
                <c:pt idx="213">
                  <c:v>27.6</c:v>
                </c:pt>
                <c:pt idx="214">
                  <c:v>24.8</c:v>
                </c:pt>
                <c:pt idx="215">
                  <c:v>25.2</c:v>
                </c:pt>
                <c:pt idx="216">
                  <c:v>26</c:v>
                </c:pt>
                <c:pt idx="217">
                  <c:v>23.4</c:v>
                </c:pt>
                <c:pt idx="218">
                  <c:v>22</c:v>
                </c:pt>
                <c:pt idx="219">
                  <c:v>23.5</c:v>
                </c:pt>
                <c:pt idx="220">
                  <c:v>24</c:v>
                </c:pt>
                <c:pt idx="221">
                  <c:v>23.7</c:v>
                </c:pt>
                <c:pt idx="222">
                  <c:v>24.7</c:v>
                </c:pt>
                <c:pt idx="223">
                  <c:v>24.4</c:v>
                </c:pt>
                <c:pt idx="224">
                  <c:v>22.9</c:v>
                </c:pt>
                <c:pt idx="225">
                  <c:v>23.5</c:v>
                </c:pt>
                <c:pt idx="226">
                  <c:v>26.7</c:v>
                </c:pt>
                <c:pt idx="227">
                  <c:v>27</c:v>
                </c:pt>
                <c:pt idx="228">
                  <c:v>27.4</c:v>
                </c:pt>
                <c:pt idx="229">
                  <c:v>28.3</c:v>
                </c:pt>
                <c:pt idx="230">
                  <c:v>29.3</c:v>
                </c:pt>
                <c:pt idx="231">
                  <c:v>27.4</c:v>
                </c:pt>
                <c:pt idx="232">
                  <c:v>27.5</c:v>
                </c:pt>
                <c:pt idx="233">
                  <c:v>25.5</c:v>
                </c:pt>
                <c:pt idx="234">
                  <c:v>23</c:v>
                </c:pt>
                <c:pt idx="235">
                  <c:v>23.1</c:v>
                </c:pt>
                <c:pt idx="236">
                  <c:v>20.8</c:v>
                </c:pt>
                <c:pt idx="237">
                  <c:v>21.7</c:v>
                </c:pt>
                <c:pt idx="238">
                  <c:v>22.2</c:v>
                </c:pt>
                <c:pt idx="239">
                  <c:v>20.8</c:v>
                </c:pt>
                <c:pt idx="240">
                  <c:v>20.2</c:v>
                </c:pt>
                <c:pt idx="241">
                  <c:v>19.3</c:v>
                </c:pt>
                <c:pt idx="242">
                  <c:v>19.5</c:v>
                </c:pt>
                <c:pt idx="243">
                  <c:v>21</c:v>
                </c:pt>
                <c:pt idx="244">
                  <c:v>21.1</c:v>
                </c:pt>
                <c:pt idx="245">
                  <c:v>21.3</c:v>
                </c:pt>
                <c:pt idx="246">
                  <c:v>21.6</c:v>
                </c:pt>
                <c:pt idx="247">
                  <c:v>21.5</c:v>
                </c:pt>
                <c:pt idx="248">
                  <c:v>21.2</c:v>
                </c:pt>
                <c:pt idx="249">
                  <c:v>22.1</c:v>
                </c:pt>
                <c:pt idx="250">
                  <c:v>21.9</c:v>
                </c:pt>
                <c:pt idx="251">
                  <c:v>22.7</c:v>
                </c:pt>
                <c:pt idx="252">
                  <c:v>22.4</c:v>
                </c:pt>
                <c:pt idx="253">
                  <c:v>21.9</c:v>
                </c:pt>
                <c:pt idx="254">
                  <c:v>21.7</c:v>
                </c:pt>
                <c:pt idx="255">
                  <c:v>20.8</c:v>
                </c:pt>
                <c:pt idx="256">
                  <c:v>20.100000000000001</c:v>
                </c:pt>
                <c:pt idx="257">
                  <c:v>20</c:v>
                </c:pt>
                <c:pt idx="258">
                  <c:v>19.2</c:v>
                </c:pt>
                <c:pt idx="259">
                  <c:v>19</c:v>
                </c:pt>
                <c:pt idx="260">
                  <c:v>19.100000000000001</c:v>
                </c:pt>
                <c:pt idx="261">
                  <c:v>19.2</c:v>
                </c:pt>
                <c:pt idx="262">
                  <c:v>19.7</c:v>
                </c:pt>
                <c:pt idx="263">
                  <c:v>20.3</c:v>
                </c:pt>
                <c:pt idx="264">
                  <c:v>19.399999999999999</c:v>
                </c:pt>
                <c:pt idx="265">
                  <c:v>19.5</c:v>
                </c:pt>
                <c:pt idx="266">
                  <c:v>19.100000000000001</c:v>
                </c:pt>
                <c:pt idx="267">
                  <c:v>18.7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18.600000000000001</c:v>
                </c:pt>
                <c:pt idx="272">
                  <c:v>18.7</c:v>
                </c:pt>
                <c:pt idx="273">
                  <c:v>18.100000000000001</c:v>
                </c:pt>
                <c:pt idx="274">
                  <c:v>18.600000000000001</c:v>
                </c:pt>
                <c:pt idx="275">
                  <c:v>18.5</c:v>
                </c:pt>
                <c:pt idx="276">
                  <c:v>18.899999999999999</c:v>
                </c:pt>
                <c:pt idx="277">
                  <c:v>18.600000000000001</c:v>
                </c:pt>
                <c:pt idx="278">
                  <c:v>18.7</c:v>
                </c:pt>
                <c:pt idx="279">
                  <c:v>18.399999999999999</c:v>
                </c:pt>
                <c:pt idx="280">
                  <c:v>17.5</c:v>
                </c:pt>
                <c:pt idx="281">
                  <c:v>17.5</c:v>
                </c:pt>
                <c:pt idx="282">
                  <c:v>17.100000000000001</c:v>
                </c:pt>
                <c:pt idx="283">
                  <c:v>17.399999999999999</c:v>
                </c:pt>
                <c:pt idx="284">
                  <c:v>17.7</c:v>
                </c:pt>
                <c:pt idx="285">
                  <c:v>18</c:v>
                </c:pt>
                <c:pt idx="286">
                  <c:v>18.100000000000001</c:v>
                </c:pt>
                <c:pt idx="287">
                  <c:v>18.2</c:v>
                </c:pt>
                <c:pt idx="288">
                  <c:v>18.5</c:v>
                </c:pt>
                <c:pt idx="289">
                  <c:v>17.8</c:v>
                </c:pt>
                <c:pt idx="290">
                  <c:v>17.899999999999999</c:v>
                </c:pt>
                <c:pt idx="291">
                  <c:v>18.5</c:v>
                </c:pt>
                <c:pt idx="292">
                  <c:v>18.399999999999999</c:v>
                </c:pt>
                <c:pt idx="293">
                  <c:v>18.100000000000001</c:v>
                </c:pt>
                <c:pt idx="294">
                  <c:v>17.399999999999999</c:v>
                </c:pt>
                <c:pt idx="295">
                  <c:v>17</c:v>
                </c:pt>
                <c:pt idx="296">
                  <c:v>17.600000000000001</c:v>
                </c:pt>
                <c:pt idx="297">
                  <c:v>18.100000000000001</c:v>
                </c:pt>
                <c:pt idx="298">
                  <c:v>18.2</c:v>
                </c:pt>
                <c:pt idx="299">
                  <c:v>18.2</c:v>
                </c:pt>
                <c:pt idx="300">
                  <c:v>17.600000000000001</c:v>
                </c:pt>
                <c:pt idx="301">
                  <c:v>17</c:v>
                </c:pt>
                <c:pt idx="302">
                  <c:v>16.899999999999999</c:v>
                </c:pt>
                <c:pt idx="303">
                  <c:v>17.899999999999999</c:v>
                </c:pt>
                <c:pt idx="304">
                  <c:v>18.5</c:v>
                </c:pt>
                <c:pt idx="305">
                  <c:v>17</c:v>
                </c:pt>
                <c:pt idx="306">
                  <c:v>16.8</c:v>
                </c:pt>
                <c:pt idx="307">
                  <c:v>16.8</c:v>
                </c:pt>
                <c:pt idx="308">
                  <c:v>15.3</c:v>
                </c:pt>
                <c:pt idx="309">
                  <c:v>12.8</c:v>
                </c:pt>
                <c:pt idx="310">
                  <c:v>11.6</c:v>
                </c:pt>
                <c:pt idx="311">
                  <c:v>11.9</c:v>
                </c:pt>
                <c:pt idx="312">
                  <c:v>11.7</c:v>
                </c:pt>
                <c:pt idx="313">
                  <c:v>11.2</c:v>
                </c:pt>
                <c:pt idx="314">
                  <c:v>12.2</c:v>
                </c:pt>
                <c:pt idx="315">
                  <c:v>13.7</c:v>
                </c:pt>
                <c:pt idx="316">
                  <c:v>15</c:v>
                </c:pt>
                <c:pt idx="317">
                  <c:v>15</c:v>
                </c:pt>
                <c:pt idx="318">
                  <c:v>16.899999999999999</c:v>
                </c:pt>
                <c:pt idx="319">
                  <c:v>18.100000000000001</c:v>
                </c:pt>
                <c:pt idx="320">
                  <c:v>18.899999999999999</c:v>
                </c:pt>
                <c:pt idx="321">
                  <c:v>19.3</c:v>
                </c:pt>
                <c:pt idx="322">
                  <c:v>21.2</c:v>
                </c:pt>
                <c:pt idx="323">
                  <c:v>21.7</c:v>
                </c:pt>
                <c:pt idx="324">
                  <c:v>20.5</c:v>
                </c:pt>
                <c:pt idx="325">
                  <c:v>19.7</c:v>
                </c:pt>
                <c:pt idx="326">
                  <c:v>20.6</c:v>
                </c:pt>
                <c:pt idx="327">
                  <c:v>19.399999999999999</c:v>
                </c:pt>
                <c:pt idx="328">
                  <c:v>17.100000000000001</c:v>
                </c:pt>
                <c:pt idx="329">
                  <c:v>16.100000000000001</c:v>
                </c:pt>
                <c:pt idx="330">
                  <c:v>16.5</c:v>
                </c:pt>
                <c:pt idx="331">
                  <c:v>15.3</c:v>
                </c:pt>
                <c:pt idx="332">
                  <c:v>16.5</c:v>
                </c:pt>
                <c:pt idx="333">
                  <c:v>16.7</c:v>
                </c:pt>
                <c:pt idx="334">
                  <c:v>16.399999999999999</c:v>
                </c:pt>
                <c:pt idx="335">
                  <c:v>17.399999999999999</c:v>
                </c:pt>
                <c:pt idx="336">
                  <c:v>17.5</c:v>
                </c:pt>
                <c:pt idx="337">
                  <c:v>17.600000000000001</c:v>
                </c:pt>
                <c:pt idx="338">
                  <c:v>17.5</c:v>
                </c:pt>
                <c:pt idx="339">
                  <c:v>16.8</c:v>
                </c:pt>
                <c:pt idx="340">
                  <c:v>16.600000000000001</c:v>
                </c:pt>
                <c:pt idx="341">
                  <c:v>16.100000000000001</c:v>
                </c:pt>
                <c:pt idx="342">
                  <c:v>15.6</c:v>
                </c:pt>
                <c:pt idx="343">
                  <c:v>14.3</c:v>
                </c:pt>
                <c:pt idx="344">
                  <c:v>13.2</c:v>
                </c:pt>
                <c:pt idx="345">
                  <c:v>14.8</c:v>
                </c:pt>
                <c:pt idx="346">
                  <c:v>14.3</c:v>
                </c:pt>
                <c:pt idx="347">
                  <c:v>14.4</c:v>
                </c:pt>
                <c:pt idx="348">
                  <c:v>14.9</c:v>
                </c:pt>
                <c:pt idx="349">
                  <c:v>15.8</c:v>
                </c:pt>
                <c:pt idx="350">
                  <c:v>16.3</c:v>
                </c:pt>
                <c:pt idx="351">
                  <c:v>15.9</c:v>
                </c:pt>
                <c:pt idx="352">
                  <c:v>14.7</c:v>
                </c:pt>
                <c:pt idx="353">
                  <c:v>15.3</c:v>
                </c:pt>
                <c:pt idx="354">
                  <c:v>15.4</c:v>
                </c:pt>
                <c:pt idx="355">
                  <c:v>15.9</c:v>
                </c:pt>
                <c:pt idx="356">
                  <c:v>16.2</c:v>
                </c:pt>
                <c:pt idx="357">
                  <c:v>16</c:v>
                </c:pt>
                <c:pt idx="358">
                  <c:v>16.100000000000001</c:v>
                </c:pt>
                <c:pt idx="359">
                  <c:v>16.2</c:v>
                </c:pt>
                <c:pt idx="360">
                  <c:v>17.100000000000001</c:v>
                </c:pt>
                <c:pt idx="361">
                  <c:v>17.5</c:v>
                </c:pt>
                <c:pt idx="362">
                  <c:v>18.2</c:v>
                </c:pt>
                <c:pt idx="363">
                  <c:v>18.3</c:v>
                </c:pt>
                <c:pt idx="364">
                  <c:v>18.5</c:v>
                </c:pt>
                <c:pt idx="365">
                  <c:v>18.2</c:v>
                </c:pt>
                <c:pt idx="366">
                  <c:v>18.7</c:v>
                </c:pt>
                <c:pt idx="367">
                  <c:v>18.100000000000001</c:v>
                </c:pt>
                <c:pt idx="368">
                  <c:v>18.7</c:v>
                </c:pt>
                <c:pt idx="369">
                  <c:v>19.3</c:v>
                </c:pt>
                <c:pt idx="370">
                  <c:v>19.600000000000001</c:v>
                </c:pt>
                <c:pt idx="371">
                  <c:v>20</c:v>
                </c:pt>
                <c:pt idx="372">
                  <c:v>18.600000000000001</c:v>
                </c:pt>
                <c:pt idx="373">
                  <c:v>19.2</c:v>
                </c:pt>
                <c:pt idx="374">
                  <c:v>19.2</c:v>
                </c:pt>
                <c:pt idx="375">
                  <c:v>19.399999999999999</c:v>
                </c:pt>
                <c:pt idx="376">
                  <c:v>19.8</c:v>
                </c:pt>
                <c:pt idx="377">
                  <c:v>20.3</c:v>
                </c:pt>
                <c:pt idx="378">
                  <c:v>20</c:v>
                </c:pt>
                <c:pt idx="379">
                  <c:v>20.6</c:v>
                </c:pt>
                <c:pt idx="380">
                  <c:v>20.100000000000001</c:v>
                </c:pt>
                <c:pt idx="381">
                  <c:v>20.2</c:v>
                </c:pt>
                <c:pt idx="382">
                  <c:v>20.2</c:v>
                </c:pt>
                <c:pt idx="383">
                  <c:v>20.100000000000001</c:v>
                </c:pt>
                <c:pt idx="384">
                  <c:v>20.3</c:v>
                </c:pt>
                <c:pt idx="385">
                  <c:v>21.3</c:v>
                </c:pt>
                <c:pt idx="386">
                  <c:v>21.1</c:v>
                </c:pt>
                <c:pt idx="387">
                  <c:v>21.1</c:v>
                </c:pt>
                <c:pt idx="388">
                  <c:v>21.5</c:v>
                </c:pt>
                <c:pt idx="389">
                  <c:v>21.1</c:v>
                </c:pt>
                <c:pt idx="390">
                  <c:v>21.5</c:v>
                </c:pt>
                <c:pt idx="391">
                  <c:v>20.399999999999999</c:v>
                </c:pt>
                <c:pt idx="392">
                  <c:v>19.8</c:v>
                </c:pt>
                <c:pt idx="393">
                  <c:v>21.2</c:v>
                </c:pt>
                <c:pt idx="394">
                  <c:v>21.4</c:v>
                </c:pt>
                <c:pt idx="395">
                  <c:v>21.1</c:v>
                </c:pt>
                <c:pt idx="396">
                  <c:v>19.600000000000001</c:v>
                </c:pt>
                <c:pt idx="397">
                  <c:v>19.7</c:v>
                </c:pt>
                <c:pt idx="398">
                  <c:v>20.9</c:v>
                </c:pt>
                <c:pt idx="399">
                  <c:v>20.9</c:v>
                </c:pt>
                <c:pt idx="400">
                  <c:v>21.3</c:v>
                </c:pt>
                <c:pt idx="401">
                  <c:v>21.4</c:v>
                </c:pt>
                <c:pt idx="402">
                  <c:v>22.1</c:v>
                </c:pt>
                <c:pt idx="403">
                  <c:v>21.9</c:v>
                </c:pt>
                <c:pt idx="404">
                  <c:v>21.9</c:v>
                </c:pt>
                <c:pt idx="405">
                  <c:v>21.4</c:v>
                </c:pt>
                <c:pt idx="406">
                  <c:v>21.9</c:v>
                </c:pt>
                <c:pt idx="407">
                  <c:v>22.3</c:v>
                </c:pt>
                <c:pt idx="408">
                  <c:v>22.7</c:v>
                </c:pt>
                <c:pt idx="409">
                  <c:v>23.1</c:v>
                </c:pt>
                <c:pt idx="410">
                  <c:v>23</c:v>
                </c:pt>
                <c:pt idx="411">
                  <c:v>23.3</c:v>
                </c:pt>
                <c:pt idx="412">
                  <c:v>22.9</c:v>
                </c:pt>
                <c:pt idx="413">
                  <c:v>23.1</c:v>
                </c:pt>
                <c:pt idx="414">
                  <c:v>23.3</c:v>
                </c:pt>
                <c:pt idx="415">
                  <c:v>22.9</c:v>
                </c:pt>
                <c:pt idx="416">
                  <c:v>23.2</c:v>
                </c:pt>
                <c:pt idx="417">
                  <c:v>23.5</c:v>
                </c:pt>
                <c:pt idx="418">
                  <c:v>24.1</c:v>
                </c:pt>
                <c:pt idx="419">
                  <c:v>24.3</c:v>
                </c:pt>
                <c:pt idx="420">
                  <c:v>25.7</c:v>
                </c:pt>
                <c:pt idx="421">
                  <c:v>24.6</c:v>
                </c:pt>
                <c:pt idx="422">
                  <c:v>23.6</c:v>
                </c:pt>
                <c:pt idx="423">
                  <c:v>22.9</c:v>
                </c:pt>
                <c:pt idx="424">
                  <c:v>23.1</c:v>
                </c:pt>
                <c:pt idx="425">
                  <c:v>23.2</c:v>
                </c:pt>
                <c:pt idx="426">
                  <c:v>23.2</c:v>
                </c:pt>
                <c:pt idx="427">
                  <c:v>23.5</c:v>
                </c:pt>
                <c:pt idx="428">
                  <c:v>23.3</c:v>
                </c:pt>
                <c:pt idx="429">
                  <c:v>21.1</c:v>
                </c:pt>
                <c:pt idx="430">
                  <c:v>20.7</c:v>
                </c:pt>
                <c:pt idx="431">
                  <c:v>18.8</c:v>
                </c:pt>
                <c:pt idx="432">
                  <c:v>20.2</c:v>
                </c:pt>
                <c:pt idx="433">
                  <c:v>20.7</c:v>
                </c:pt>
                <c:pt idx="434">
                  <c:v>21.4</c:v>
                </c:pt>
                <c:pt idx="435">
                  <c:v>22.2</c:v>
                </c:pt>
                <c:pt idx="436">
                  <c:v>20.7</c:v>
                </c:pt>
                <c:pt idx="437">
                  <c:v>22</c:v>
                </c:pt>
                <c:pt idx="438">
                  <c:v>22.3</c:v>
                </c:pt>
                <c:pt idx="439">
                  <c:v>21.6</c:v>
                </c:pt>
                <c:pt idx="440">
                  <c:v>21.8</c:v>
                </c:pt>
                <c:pt idx="441">
                  <c:v>22.5</c:v>
                </c:pt>
                <c:pt idx="442">
                  <c:v>23.3</c:v>
                </c:pt>
                <c:pt idx="443">
                  <c:v>23.9</c:v>
                </c:pt>
                <c:pt idx="444">
                  <c:v>23.7</c:v>
                </c:pt>
                <c:pt idx="445">
                  <c:v>21.6</c:v>
                </c:pt>
                <c:pt idx="446">
                  <c:v>18.7</c:v>
                </c:pt>
                <c:pt idx="447">
                  <c:v>21.8</c:v>
                </c:pt>
                <c:pt idx="448">
                  <c:v>24.1</c:v>
                </c:pt>
                <c:pt idx="449">
                  <c:v>24.7</c:v>
                </c:pt>
                <c:pt idx="450">
                  <c:v>28</c:v>
                </c:pt>
                <c:pt idx="451">
                  <c:v>31.5</c:v>
                </c:pt>
                <c:pt idx="452">
                  <c:v>30.3</c:v>
                </c:pt>
                <c:pt idx="453">
                  <c:v>29.7</c:v>
                </c:pt>
                <c:pt idx="454">
                  <c:v>32.9</c:v>
                </c:pt>
                <c:pt idx="455">
                  <c:v>34.1</c:v>
                </c:pt>
                <c:pt idx="456">
                  <c:v>33.5</c:v>
                </c:pt>
                <c:pt idx="457">
                  <c:v>34.1</c:v>
                </c:pt>
                <c:pt idx="458">
                  <c:v>35</c:v>
                </c:pt>
                <c:pt idx="459">
                  <c:v>33.6</c:v>
                </c:pt>
                <c:pt idx="460">
                  <c:v>30.8</c:v>
                </c:pt>
                <c:pt idx="461">
                  <c:v>31.3</c:v>
                </c:pt>
                <c:pt idx="462">
                  <c:v>29.2</c:v>
                </c:pt>
                <c:pt idx="463">
                  <c:v>28</c:v>
                </c:pt>
                <c:pt idx="464">
                  <c:v>26.6</c:v>
                </c:pt>
                <c:pt idx="465">
                  <c:v>27.4</c:v>
                </c:pt>
                <c:pt idx="466">
                  <c:v>26.2</c:v>
                </c:pt>
                <c:pt idx="467">
                  <c:v>27.1</c:v>
                </c:pt>
                <c:pt idx="468">
                  <c:v>24.6</c:v>
                </c:pt>
                <c:pt idx="469">
                  <c:v>22.4</c:v>
                </c:pt>
                <c:pt idx="470">
                  <c:v>23</c:v>
                </c:pt>
                <c:pt idx="471">
                  <c:v>21</c:v>
                </c:pt>
                <c:pt idx="472">
                  <c:v>20.9</c:v>
                </c:pt>
                <c:pt idx="473">
                  <c:v>19.100000000000001</c:v>
                </c:pt>
                <c:pt idx="474">
                  <c:v>21</c:v>
                </c:pt>
                <c:pt idx="475">
                  <c:v>20.5</c:v>
                </c:pt>
                <c:pt idx="476">
                  <c:v>18.600000000000001</c:v>
                </c:pt>
                <c:pt idx="477">
                  <c:v>20.399999999999999</c:v>
                </c:pt>
                <c:pt idx="478">
                  <c:v>21.4</c:v>
                </c:pt>
                <c:pt idx="479">
                  <c:v>20.100000000000001</c:v>
                </c:pt>
                <c:pt idx="480">
                  <c:v>21.8</c:v>
                </c:pt>
                <c:pt idx="481">
                  <c:v>21.7</c:v>
                </c:pt>
                <c:pt idx="482">
                  <c:v>22.4</c:v>
                </c:pt>
                <c:pt idx="483">
                  <c:v>22.8</c:v>
                </c:pt>
                <c:pt idx="484">
                  <c:v>22.6</c:v>
                </c:pt>
                <c:pt idx="485">
                  <c:v>24.1</c:v>
                </c:pt>
                <c:pt idx="486">
                  <c:v>24.8</c:v>
                </c:pt>
                <c:pt idx="487">
                  <c:v>23.9</c:v>
                </c:pt>
                <c:pt idx="488">
                  <c:v>22.8</c:v>
                </c:pt>
                <c:pt idx="489">
                  <c:v>22</c:v>
                </c:pt>
                <c:pt idx="490">
                  <c:v>23.9</c:v>
                </c:pt>
                <c:pt idx="491">
                  <c:v>25</c:v>
                </c:pt>
                <c:pt idx="492">
                  <c:v>25.2</c:v>
                </c:pt>
                <c:pt idx="493">
                  <c:v>26</c:v>
                </c:pt>
                <c:pt idx="494">
                  <c:v>26.9</c:v>
                </c:pt>
                <c:pt idx="495">
                  <c:v>25.7</c:v>
                </c:pt>
                <c:pt idx="496">
                  <c:v>26.8</c:v>
                </c:pt>
                <c:pt idx="497">
                  <c:v>27.6</c:v>
                </c:pt>
                <c:pt idx="498">
                  <c:v>27.8</c:v>
                </c:pt>
                <c:pt idx="499">
                  <c:v>27.5</c:v>
                </c:pt>
                <c:pt idx="500">
                  <c:v>28.4</c:v>
                </c:pt>
                <c:pt idx="501">
                  <c:v>28.4</c:v>
                </c:pt>
                <c:pt idx="502">
                  <c:v>29.9</c:v>
                </c:pt>
                <c:pt idx="503">
                  <c:v>28.9</c:v>
                </c:pt>
                <c:pt idx="504">
                  <c:v>29</c:v>
                </c:pt>
                <c:pt idx="505">
                  <c:v>27.8</c:v>
                </c:pt>
                <c:pt idx="506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1-4CD6-9AF4-F2AF32252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33024"/>
        <c:axId val="1270030624"/>
      </c:lineChart>
      <c:lineChart>
        <c:grouping val="standard"/>
        <c:varyColors val="0"/>
        <c:ser>
          <c:idx val="1"/>
          <c:order val="1"/>
          <c:tx>
            <c:strRef>
              <c:f>'Raw Data'!$I$4</c:f>
              <c:strCache>
                <c:ptCount val="1"/>
                <c:pt idx="0">
                  <c:v>Real Yield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'Raw Data'!$A$126:$A$700</c:f>
              <c:numCache>
                <c:formatCode>m/d/yyyy</c:formatCode>
                <c:ptCount val="575"/>
                <c:pt idx="0">
                  <c:v>30347</c:v>
                </c:pt>
                <c:pt idx="1">
                  <c:v>30375</c:v>
                </c:pt>
                <c:pt idx="2">
                  <c:v>30406</c:v>
                </c:pt>
                <c:pt idx="3">
                  <c:v>30435</c:v>
                </c:pt>
                <c:pt idx="4">
                  <c:v>30467</c:v>
                </c:pt>
                <c:pt idx="5">
                  <c:v>30497</c:v>
                </c:pt>
                <c:pt idx="6">
                  <c:v>30526</c:v>
                </c:pt>
                <c:pt idx="7">
                  <c:v>30559</c:v>
                </c:pt>
                <c:pt idx="8">
                  <c:v>30589</c:v>
                </c:pt>
                <c:pt idx="9">
                  <c:v>30620</c:v>
                </c:pt>
                <c:pt idx="10">
                  <c:v>30650</c:v>
                </c:pt>
                <c:pt idx="11">
                  <c:v>30680</c:v>
                </c:pt>
                <c:pt idx="12">
                  <c:v>30712</c:v>
                </c:pt>
                <c:pt idx="13">
                  <c:v>30741</c:v>
                </c:pt>
                <c:pt idx="14">
                  <c:v>30771</c:v>
                </c:pt>
                <c:pt idx="15">
                  <c:v>30802</c:v>
                </c:pt>
                <c:pt idx="16">
                  <c:v>30833</c:v>
                </c:pt>
                <c:pt idx="17">
                  <c:v>30862</c:v>
                </c:pt>
                <c:pt idx="18">
                  <c:v>30894</c:v>
                </c:pt>
                <c:pt idx="19">
                  <c:v>30925</c:v>
                </c:pt>
                <c:pt idx="20">
                  <c:v>30953</c:v>
                </c:pt>
                <c:pt idx="21">
                  <c:v>30986</c:v>
                </c:pt>
                <c:pt idx="22">
                  <c:v>31016</c:v>
                </c:pt>
                <c:pt idx="23">
                  <c:v>31047</c:v>
                </c:pt>
                <c:pt idx="24">
                  <c:v>31078</c:v>
                </c:pt>
                <c:pt idx="25">
                  <c:v>31106</c:v>
                </c:pt>
                <c:pt idx="26">
                  <c:v>31135</c:v>
                </c:pt>
                <c:pt idx="27">
                  <c:v>31167</c:v>
                </c:pt>
                <c:pt idx="28">
                  <c:v>31198</c:v>
                </c:pt>
                <c:pt idx="29">
                  <c:v>31226</c:v>
                </c:pt>
                <c:pt idx="30">
                  <c:v>31259</c:v>
                </c:pt>
                <c:pt idx="31">
                  <c:v>31289</c:v>
                </c:pt>
                <c:pt idx="32">
                  <c:v>31320</c:v>
                </c:pt>
                <c:pt idx="33">
                  <c:v>31351</c:v>
                </c:pt>
                <c:pt idx="34">
                  <c:v>31380</c:v>
                </c:pt>
                <c:pt idx="35">
                  <c:v>31412</c:v>
                </c:pt>
                <c:pt idx="36">
                  <c:v>31443</c:v>
                </c:pt>
                <c:pt idx="37">
                  <c:v>31471</c:v>
                </c:pt>
                <c:pt idx="38">
                  <c:v>31502</c:v>
                </c:pt>
                <c:pt idx="39">
                  <c:v>31532</c:v>
                </c:pt>
                <c:pt idx="40">
                  <c:v>31562</c:v>
                </c:pt>
                <c:pt idx="41">
                  <c:v>31593</c:v>
                </c:pt>
                <c:pt idx="42">
                  <c:v>31624</c:v>
                </c:pt>
                <c:pt idx="43">
                  <c:v>31653</c:v>
                </c:pt>
                <c:pt idx="44">
                  <c:v>31685</c:v>
                </c:pt>
                <c:pt idx="45">
                  <c:v>31716</c:v>
                </c:pt>
                <c:pt idx="46">
                  <c:v>31744</c:v>
                </c:pt>
                <c:pt idx="47">
                  <c:v>31777</c:v>
                </c:pt>
                <c:pt idx="48">
                  <c:v>31807</c:v>
                </c:pt>
                <c:pt idx="49">
                  <c:v>31835</c:v>
                </c:pt>
                <c:pt idx="50">
                  <c:v>31867</c:v>
                </c:pt>
                <c:pt idx="51">
                  <c:v>31897</c:v>
                </c:pt>
                <c:pt idx="52">
                  <c:v>31926</c:v>
                </c:pt>
                <c:pt idx="53">
                  <c:v>31958</c:v>
                </c:pt>
                <c:pt idx="54">
                  <c:v>31989</c:v>
                </c:pt>
                <c:pt idx="55">
                  <c:v>32020</c:v>
                </c:pt>
                <c:pt idx="56">
                  <c:v>32050</c:v>
                </c:pt>
                <c:pt idx="57">
                  <c:v>32080</c:v>
                </c:pt>
                <c:pt idx="58">
                  <c:v>32111</c:v>
                </c:pt>
                <c:pt idx="59">
                  <c:v>32142</c:v>
                </c:pt>
                <c:pt idx="60">
                  <c:v>32171</c:v>
                </c:pt>
                <c:pt idx="61">
                  <c:v>32202</c:v>
                </c:pt>
                <c:pt idx="62">
                  <c:v>32233</c:v>
                </c:pt>
                <c:pt idx="63">
                  <c:v>32262</c:v>
                </c:pt>
                <c:pt idx="64">
                  <c:v>32294</c:v>
                </c:pt>
                <c:pt idx="65">
                  <c:v>32324</c:v>
                </c:pt>
                <c:pt idx="66">
                  <c:v>32353</c:v>
                </c:pt>
                <c:pt idx="67">
                  <c:v>32386</c:v>
                </c:pt>
                <c:pt idx="68">
                  <c:v>32416</c:v>
                </c:pt>
                <c:pt idx="69">
                  <c:v>32447</c:v>
                </c:pt>
                <c:pt idx="70">
                  <c:v>32477</c:v>
                </c:pt>
                <c:pt idx="71">
                  <c:v>32507</c:v>
                </c:pt>
                <c:pt idx="72">
                  <c:v>32539</c:v>
                </c:pt>
                <c:pt idx="73">
                  <c:v>32567</c:v>
                </c:pt>
                <c:pt idx="74">
                  <c:v>32598</c:v>
                </c:pt>
                <c:pt idx="75">
                  <c:v>32626</c:v>
                </c:pt>
                <c:pt idx="76">
                  <c:v>32659</c:v>
                </c:pt>
                <c:pt idx="77">
                  <c:v>32689</c:v>
                </c:pt>
                <c:pt idx="78">
                  <c:v>32720</c:v>
                </c:pt>
                <c:pt idx="79">
                  <c:v>32751</c:v>
                </c:pt>
                <c:pt idx="80">
                  <c:v>32780</c:v>
                </c:pt>
                <c:pt idx="81">
                  <c:v>32812</c:v>
                </c:pt>
                <c:pt idx="82">
                  <c:v>32842</c:v>
                </c:pt>
                <c:pt idx="83">
                  <c:v>32871</c:v>
                </c:pt>
                <c:pt idx="84">
                  <c:v>32904</c:v>
                </c:pt>
                <c:pt idx="85">
                  <c:v>32932</c:v>
                </c:pt>
                <c:pt idx="86">
                  <c:v>32962</c:v>
                </c:pt>
                <c:pt idx="87">
                  <c:v>32993</c:v>
                </c:pt>
                <c:pt idx="88">
                  <c:v>33024</c:v>
                </c:pt>
                <c:pt idx="89">
                  <c:v>33053</c:v>
                </c:pt>
                <c:pt idx="90">
                  <c:v>33085</c:v>
                </c:pt>
                <c:pt idx="91">
                  <c:v>33116</c:v>
                </c:pt>
                <c:pt idx="92">
                  <c:v>33144</c:v>
                </c:pt>
                <c:pt idx="93">
                  <c:v>33177</c:v>
                </c:pt>
                <c:pt idx="94">
                  <c:v>33207</c:v>
                </c:pt>
                <c:pt idx="95">
                  <c:v>33238</c:v>
                </c:pt>
                <c:pt idx="96">
                  <c:v>33269</c:v>
                </c:pt>
                <c:pt idx="97">
                  <c:v>33297</c:v>
                </c:pt>
                <c:pt idx="98">
                  <c:v>33326</c:v>
                </c:pt>
                <c:pt idx="99">
                  <c:v>33358</c:v>
                </c:pt>
                <c:pt idx="100">
                  <c:v>33389</c:v>
                </c:pt>
                <c:pt idx="101">
                  <c:v>33417</c:v>
                </c:pt>
                <c:pt idx="102">
                  <c:v>33450</c:v>
                </c:pt>
                <c:pt idx="103">
                  <c:v>33480</c:v>
                </c:pt>
                <c:pt idx="104">
                  <c:v>33511</c:v>
                </c:pt>
                <c:pt idx="105">
                  <c:v>33542</c:v>
                </c:pt>
                <c:pt idx="106">
                  <c:v>33571</c:v>
                </c:pt>
                <c:pt idx="107">
                  <c:v>33603</c:v>
                </c:pt>
                <c:pt idx="108">
                  <c:v>33634</c:v>
                </c:pt>
                <c:pt idx="109">
                  <c:v>33662</c:v>
                </c:pt>
                <c:pt idx="110">
                  <c:v>33694</c:v>
                </c:pt>
                <c:pt idx="111">
                  <c:v>33724</c:v>
                </c:pt>
                <c:pt idx="112">
                  <c:v>33753</c:v>
                </c:pt>
                <c:pt idx="113">
                  <c:v>33785</c:v>
                </c:pt>
                <c:pt idx="114">
                  <c:v>33816</c:v>
                </c:pt>
                <c:pt idx="115">
                  <c:v>33847</c:v>
                </c:pt>
                <c:pt idx="116">
                  <c:v>33877</c:v>
                </c:pt>
                <c:pt idx="117">
                  <c:v>33907</c:v>
                </c:pt>
                <c:pt idx="118">
                  <c:v>33938</c:v>
                </c:pt>
                <c:pt idx="119">
                  <c:v>33969</c:v>
                </c:pt>
                <c:pt idx="120">
                  <c:v>33998</c:v>
                </c:pt>
                <c:pt idx="121">
                  <c:v>34026</c:v>
                </c:pt>
                <c:pt idx="122">
                  <c:v>34059</c:v>
                </c:pt>
                <c:pt idx="123">
                  <c:v>34089</c:v>
                </c:pt>
                <c:pt idx="124">
                  <c:v>34120</c:v>
                </c:pt>
                <c:pt idx="125">
                  <c:v>34150</c:v>
                </c:pt>
                <c:pt idx="126">
                  <c:v>34180</c:v>
                </c:pt>
                <c:pt idx="127">
                  <c:v>34212</c:v>
                </c:pt>
                <c:pt idx="128">
                  <c:v>34242</c:v>
                </c:pt>
                <c:pt idx="129">
                  <c:v>34271</c:v>
                </c:pt>
                <c:pt idx="130">
                  <c:v>34303</c:v>
                </c:pt>
                <c:pt idx="131">
                  <c:v>34334</c:v>
                </c:pt>
                <c:pt idx="132">
                  <c:v>34365</c:v>
                </c:pt>
                <c:pt idx="133">
                  <c:v>34393</c:v>
                </c:pt>
                <c:pt idx="134">
                  <c:v>34424</c:v>
                </c:pt>
                <c:pt idx="135">
                  <c:v>34453</c:v>
                </c:pt>
                <c:pt idx="136">
                  <c:v>34485</c:v>
                </c:pt>
                <c:pt idx="137">
                  <c:v>34515</c:v>
                </c:pt>
                <c:pt idx="138">
                  <c:v>34544</c:v>
                </c:pt>
                <c:pt idx="139">
                  <c:v>34577</c:v>
                </c:pt>
                <c:pt idx="140">
                  <c:v>34607</c:v>
                </c:pt>
                <c:pt idx="141">
                  <c:v>34638</c:v>
                </c:pt>
                <c:pt idx="142">
                  <c:v>34668</c:v>
                </c:pt>
                <c:pt idx="143">
                  <c:v>34698</c:v>
                </c:pt>
                <c:pt idx="144">
                  <c:v>34730</c:v>
                </c:pt>
                <c:pt idx="145">
                  <c:v>34758</c:v>
                </c:pt>
                <c:pt idx="146">
                  <c:v>34789</c:v>
                </c:pt>
                <c:pt idx="147">
                  <c:v>34817</c:v>
                </c:pt>
                <c:pt idx="148">
                  <c:v>34850</c:v>
                </c:pt>
                <c:pt idx="149">
                  <c:v>34880</c:v>
                </c:pt>
                <c:pt idx="150">
                  <c:v>34911</c:v>
                </c:pt>
                <c:pt idx="151">
                  <c:v>34942</c:v>
                </c:pt>
                <c:pt idx="152">
                  <c:v>34971</c:v>
                </c:pt>
                <c:pt idx="153">
                  <c:v>35003</c:v>
                </c:pt>
                <c:pt idx="154">
                  <c:v>35033</c:v>
                </c:pt>
                <c:pt idx="155">
                  <c:v>35062</c:v>
                </c:pt>
                <c:pt idx="156">
                  <c:v>35095</c:v>
                </c:pt>
                <c:pt idx="157">
                  <c:v>35124</c:v>
                </c:pt>
                <c:pt idx="158">
                  <c:v>35153</c:v>
                </c:pt>
                <c:pt idx="159">
                  <c:v>35185</c:v>
                </c:pt>
                <c:pt idx="160">
                  <c:v>35216</c:v>
                </c:pt>
                <c:pt idx="161">
                  <c:v>35244</c:v>
                </c:pt>
                <c:pt idx="162">
                  <c:v>35277</c:v>
                </c:pt>
                <c:pt idx="163">
                  <c:v>35307</c:v>
                </c:pt>
                <c:pt idx="164">
                  <c:v>35338</c:v>
                </c:pt>
                <c:pt idx="165">
                  <c:v>35369</c:v>
                </c:pt>
                <c:pt idx="166">
                  <c:v>35398</c:v>
                </c:pt>
                <c:pt idx="167">
                  <c:v>35430</c:v>
                </c:pt>
                <c:pt idx="168">
                  <c:v>35461</c:v>
                </c:pt>
                <c:pt idx="169">
                  <c:v>35489</c:v>
                </c:pt>
                <c:pt idx="170">
                  <c:v>35520</c:v>
                </c:pt>
                <c:pt idx="171">
                  <c:v>35550</c:v>
                </c:pt>
                <c:pt idx="172">
                  <c:v>35580</c:v>
                </c:pt>
                <c:pt idx="173">
                  <c:v>35611</c:v>
                </c:pt>
                <c:pt idx="174">
                  <c:v>35642</c:v>
                </c:pt>
                <c:pt idx="175">
                  <c:v>35671</c:v>
                </c:pt>
                <c:pt idx="176">
                  <c:v>35703</c:v>
                </c:pt>
                <c:pt idx="177">
                  <c:v>35734</c:v>
                </c:pt>
                <c:pt idx="178">
                  <c:v>35762</c:v>
                </c:pt>
                <c:pt idx="179">
                  <c:v>35795</c:v>
                </c:pt>
                <c:pt idx="180">
                  <c:v>35825</c:v>
                </c:pt>
                <c:pt idx="181">
                  <c:v>35853</c:v>
                </c:pt>
                <c:pt idx="182">
                  <c:v>35885</c:v>
                </c:pt>
                <c:pt idx="183">
                  <c:v>35915</c:v>
                </c:pt>
                <c:pt idx="184">
                  <c:v>35944</c:v>
                </c:pt>
                <c:pt idx="185">
                  <c:v>35976</c:v>
                </c:pt>
                <c:pt idx="186">
                  <c:v>36007</c:v>
                </c:pt>
                <c:pt idx="187">
                  <c:v>36038</c:v>
                </c:pt>
                <c:pt idx="188">
                  <c:v>36068</c:v>
                </c:pt>
                <c:pt idx="189">
                  <c:v>36098</c:v>
                </c:pt>
                <c:pt idx="190">
                  <c:v>36129</c:v>
                </c:pt>
                <c:pt idx="191">
                  <c:v>36160</c:v>
                </c:pt>
                <c:pt idx="192">
                  <c:v>36189</c:v>
                </c:pt>
                <c:pt idx="193">
                  <c:v>36217</c:v>
                </c:pt>
                <c:pt idx="194">
                  <c:v>36250</c:v>
                </c:pt>
                <c:pt idx="195">
                  <c:v>36280</c:v>
                </c:pt>
                <c:pt idx="196">
                  <c:v>36311</c:v>
                </c:pt>
                <c:pt idx="197">
                  <c:v>36341</c:v>
                </c:pt>
                <c:pt idx="198">
                  <c:v>36371</c:v>
                </c:pt>
                <c:pt idx="199">
                  <c:v>36403</c:v>
                </c:pt>
                <c:pt idx="200">
                  <c:v>36433</c:v>
                </c:pt>
                <c:pt idx="201">
                  <c:v>36462</c:v>
                </c:pt>
                <c:pt idx="202">
                  <c:v>36494</c:v>
                </c:pt>
                <c:pt idx="203">
                  <c:v>36525</c:v>
                </c:pt>
                <c:pt idx="204">
                  <c:v>36556</c:v>
                </c:pt>
                <c:pt idx="205">
                  <c:v>36585</c:v>
                </c:pt>
                <c:pt idx="206">
                  <c:v>36616</c:v>
                </c:pt>
                <c:pt idx="207">
                  <c:v>36644</c:v>
                </c:pt>
                <c:pt idx="208">
                  <c:v>36677</c:v>
                </c:pt>
                <c:pt idx="209">
                  <c:v>36707</c:v>
                </c:pt>
                <c:pt idx="210">
                  <c:v>36738</c:v>
                </c:pt>
                <c:pt idx="211">
                  <c:v>36769</c:v>
                </c:pt>
                <c:pt idx="212">
                  <c:v>36798</c:v>
                </c:pt>
                <c:pt idx="213">
                  <c:v>36830</c:v>
                </c:pt>
                <c:pt idx="214">
                  <c:v>36860</c:v>
                </c:pt>
                <c:pt idx="215">
                  <c:v>36889</c:v>
                </c:pt>
                <c:pt idx="216">
                  <c:v>36922</c:v>
                </c:pt>
                <c:pt idx="217">
                  <c:v>36950</c:v>
                </c:pt>
                <c:pt idx="218">
                  <c:v>36980</c:v>
                </c:pt>
                <c:pt idx="219">
                  <c:v>37011</c:v>
                </c:pt>
                <c:pt idx="220">
                  <c:v>37042</c:v>
                </c:pt>
                <c:pt idx="221">
                  <c:v>37071</c:v>
                </c:pt>
                <c:pt idx="222">
                  <c:v>37103</c:v>
                </c:pt>
                <c:pt idx="223">
                  <c:v>37134</c:v>
                </c:pt>
                <c:pt idx="224">
                  <c:v>37162</c:v>
                </c:pt>
                <c:pt idx="225">
                  <c:v>37195</c:v>
                </c:pt>
                <c:pt idx="226">
                  <c:v>37225</c:v>
                </c:pt>
                <c:pt idx="227">
                  <c:v>37256</c:v>
                </c:pt>
                <c:pt idx="228">
                  <c:v>37287</c:v>
                </c:pt>
                <c:pt idx="229">
                  <c:v>37315</c:v>
                </c:pt>
                <c:pt idx="230">
                  <c:v>37344</c:v>
                </c:pt>
                <c:pt idx="231">
                  <c:v>37376</c:v>
                </c:pt>
                <c:pt idx="232">
                  <c:v>37407</c:v>
                </c:pt>
                <c:pt idx="233">
                  <c:v>37435</c:v>
                </c:pt>
                <c:pt idx="234">
                  <c:v>37468</c:v>
                </c:pt>
                <c:pt idx="235">
                  <c:v>37498</c:v>
                </c:pt>
                <c:pt idx="236">
                  <c:v>37529</c:v>
                </c:pt>
                <c:pt idx="237">
                  <c:v>37560</c:v>
                </c:pt>
                <c:pt idx="238">
                  <c:v>37589</c:v>
                </c:pt>
                <c:pt idx="239">
                  <c:v>37621</c:v>
                </c:pt>
                <c:pt idx="240">
                  <c:v>37652</c:v>
                </c:pt>
                <c:pt idx="241">
                  <c:v>37680</c:v>
                </c:pt>
                <c:pt idx="242">
                  <c:v>37711</c:v>
                </c:pt>
                <c:pt idx="243">
                  <c:v>37741</c:v>
                </c:pt>
                <c:pt idx="244">
                  <c:v>37771</c:v>
                </c:pt>
                <c:pt idx="245">
                  <c:v>37802</c:v>
                </c:pt>
                <c:pt idx="246">
                  <c:v>37833</c:v>
                </c:pt>
                <c:pt idx="247">
                  <c:v>37862</c:v>
                </c:pt>
                <c:pt idx="248">
                  <c:v>37894</c:v>
                </c:pt>
                <c:pt idx="249">
                  <c:v>37925</c:v>
                </c:pt>
                <c:pt idx="250">
                  <c:v>37953</c:v>
                </c:pt>
                <c:pt idx="251">
                  <c:v>37986</c:v>
                </c:pt>
                <c:pt idx="252">
                  <c:v>38016</c:v>
                </c:pt>
                <c:pt idx="253">
                  <c:v>38044</c:v>
                </c:pt>
                <c:pt idx="254">
                  <c:v>38077</c:v>
                </c:pt>
                <c:pt idx="255">
                  <c:v>38107</c:v>
                </c:pt>
                <c:pt idx="256">
                  <c:v>38138</c:v>
                </c:pt>
                <c:pt idx="257">
                  <c:v>38168</c:v>
                </c:pt>
                <c:pt idx="258">
                  <c:v>38198</c:v>
                </c:pt>
                <c:pt idx="259">
                  <c:v>38230</c:v>
                </c:pt>
                <c:pt idx="260">
                  <c:v>38260</c:v>
                </c:pt>
                <c:pt idx="261">
                  <c:v>38289</c:v>
                </c:pt>
                <c:pt idx="262">
                  <c:v>38321</c:v>
                </c:pt>
                <c:pt idx="263">
                  <c:v>38352</c:v>
                </c:pt>
                <c:pt idx="264">
                  <c:v>38383</c:v>
                </c:pt>
                <c:pt idx="265">
                  <c:v>38411</c:v>
                </c:pt>
                <c:pt idx="266">
                  <c:v>38442</c:v>
                </c:pt>
                <c:pt idx="267">
                  <c:v>38471</c:v>
                </c:pt>
                <c:pt idx="268">
                  <c:v>38503</c:v>
                </c:pt>
                <c:pt idx="269">
                  <c:v>38533</c:v>
                </c:pt>
                <c:pt idx="270">
                  <c:v>38562</c:v>
                </c:pt>
                <c:pt idx="271">
                  <c:v>38595</c:v>
                </c:pt>
                <c:pt idx="272">
                  <c:v>38625</c:v>
                </c:pt>
                <c:pt idx="273">
                  <c:v>38656</c:v>
                </c:pt>
                <c:pt idx="274">
                  <c:v>38686</c:v>
                </c:pt>
                <c:pt idx="275">
                  <c:v>38716</c:v>
                </c:pt>
                <c:pt idx="276">
                  <c:v>38748</c:v>
                </c:pt>
                <c:pt idx="277">
                  <c:v>38776</c:v>
                </c:pt>
                <c:pt idx="278">
                  <c:v>38807</c:v>
                </c:pt>
                <c:pt idx="279">
                  <c:v>38835</c:v>
                </c:pt>
                <c:pt idx="280">
                  <c:v>38868</c:v>
                </c:pt>
                <c:pt idx="281">
                  <c:v>38898</c:v>
                </c:pt>
                <c:pt idx="282">
                  <c:v>38929</c:v>
                </c:pt>
                <c:pt idx="283">
                  <c:v>38960</c:v>
                </c:pt>
                <c:pt idx="284">
                  <c:v>38989</c:v>
                </c:pt>
                <c:pt idx="285">
                  <c:v>39021</c:v>
                </c:pt>
                <c:pt idx="286">
                  <c:v>39051</c:v>
                </c:pt>
                <c:pt idx="287">
                  <c:v>39080</c:v>
                </c:pt>
                <c:pt idx="288">
                  <c:v>39113</c:v>
                </c:pt>
                <c:pt idx="289">
                  <c:v>39141</c:v>
                </c:pt>
                <c:pt idx="290">
                  <c:v>39171</c:v>
                </c:pt>
                <c:pt idx="291">
                  <c:v>39202</c:v>
                </c:pt>
                <c:pt idx="292">
                  <c:v>39233</c:v>
                </c:pt>
                <c:pt idx="293">
                  <c:v>39262</c:v>
                </c:pt>
                <c:pt idx="294">
                  <c:v>39294</c:v>
                </c:pt>
                <c:pt idx="295">
                  <c:v>39325</c:v>
                </c:pt>
                <c:pt idx="296">
                  <c:v>39353</c:v>
                </c:pt>
                <c:pt idx="297">
                  <c:v>39386</c:v>
                </c:pt>
                <c:pt idx="298">
                  <c:v>39416</c:v>
                </c:pt>
                <c:pt idx="299">
                  <c:v>39447</c:v>
                </c:pt>
                <c:pt idx="300">
                  <c:v>39478</c:v>
                </c:pt>
                <c:pt idx="301">
                  <c:v>39507</c:v>
                </c:pt>
                <c:pt idx="302">
                  <c:v>39538</c:v>
                </c:pt>
                <c:pt idx="303">
                  <c:v>39568</c:v>
                </c:pt>
                <c:pt idx="304">
                  <c:v>39598</c:v>
                </c:pt>
                <c:pt idx="305">
                  <c:v>39629</c:v>
                </c:pt>
                <c:pt idx="306">
                  <c:v>39660</c:v>
                </c:pt>
                <c:pt idx="307">
                  <c:v>39689</c:v>
                </c:pt>
                <c:pt idx="308">
                  <c:v>39721</c:v>
                </c:pt>
                <c:pt idx="309">
                  <c:v>39752</c:v>
                </c:pt>
                <c:pt idx="310">
                  <c:v>39780</c:v>
                </c:pt>
                <c:pt idx="311">
                  <c:v>39813</c:v>
                </c:pt>
                <c:pt idx="312">
                  <c:v>39843</c:v>
                </c:pt>
                <c:pt idx="313">
                  <c:v>39871</c:v>
                </c:pt>
                <c:pt idx="314">
                  <c:v>39903</c:v>
                </c:pt>
                <c:pt idx="315">
                  <c:v>39933</c:v>
                </c:pt>
                <c:pt idx="316">
                  <c:v>39962</c:v>
                </c:pt>
                <c:pt idx="317">
                  <c:v>39994</c:v>
                </c:pt>
                <c:pt idx="318">
                  <c:v>40025</c:v>
                </c:pt>
                <c:pt idx="319">
                  <c:v>40056</c:v>
                </c:pt>
                <c:pt idx="320">
                  <c:v>40086</c:v>
                </c:pt>
                <c:pt idx="321">
                  <c:v>40116</c:v>
                </c:pt>
                <c:pt idx="322">
                  <c:v>40147</c:v>
                </c:pt>
                <c:pt idx="323">
                  <c:v>40178</c:v>
                </c:pt>
                <c:pt idx="324">
                  <c:v>40207</c:v>
                </c:pt>
                <c:pt idx="325">
                  <c:v>40235</c:v>
                </c:pt>
                <c:pt idx="326">
                  <c:v>40268</c:v>
                </c:pt>
                <c:pt idx="327">
                  <c:v>40298</c:v>
                </c:pt>
                <c:pt idx="328">
                  <c:v>40329</c:v>
                </c:pt>
                <c:pt idx="329">
                  <c:v>40359</c:v>
                </c:pt>
                <c:pt idx="330">
                  <c:v>40389</c:v>
                </c:pt>
                <c:pt idx="331">
                  <c:v>40421</c:v>
                </c:pt>
                <c:pt idx="332">
                  <c:v>40451</c:v>
                </c:pt>
                <c:pt idx="333">
                  <c:v>40480</c:v>
                </c:pt>
                <c:pt idx="334">
                  <c:v>40512</c:v>
                </c:pt>
                <c:pt idx="335">
                  <c:v>40543</c:v>
                </c:pt>
                <c:pt idx="336">
                  <c:v>40574</c:v>
                </c:pt>
                <c:pt idx="337">
                  <c:v>40602</c:v>
                </c:pt>
                <c:pt idx="338">
                  <c:v>40633</c:v>
                </c:pt>
                <c:pt idx="339">
                  <c:v>40662</c:v>
                </c:pt>
                <c:pt idx="340">
                  <c:v>40694</c:v>
                </c:pt>
                <c:pt idx="341">
                  <c:v>40724</c:v>
                </c:pt>
                <c:pt idx="342">
                  <c:v>40753</c:v>
                </c:pt>
                <c:pt idx="343">
                  <c:v>40786</c:v>
                </c:pt>
                <c:pt idx="344">
                  <c:v>40816</c:v>
                </c:pt>
                <c:pt idx="345">
                  <c:v>40847</c:v>
                </c:pt>
                <c:pt idx="346">
                  <c:v>40877</c:v>
                </c:pt>
                <c:pt idx="347">
                  <c:v>40907</c:v>
                </c:pt>
                <c:pt idx="348">
                  <c:v>40939</c:v>
                </c:pt>
                <c:pt idx="349">
                  <c:v>40968</c:v>
                </c:pt>
                <c:pt idx="350">
                  <c:v>40998</c:v>
                </c:pt>
                <c:pt idx="351">
                  <c:v>41029</c:v>
                </c:pt>
                <c:pt idx="352">
                  <c:v>41060</c:v>
                </c:pt>
                <c:pt idx="353">
                  <c:v>41089</c:v>
                </c:pt>
                <c:pt idx="354">
                  <c:v>41121</c:v>
                </c:pt>
                <c:pt idx="355">
                  <c:v>41152</c:v>
                </c:pt>
                <c:pt idx="356">
                  <c:v>41180</c:v>
                </c:pt>
                <c:pt idx="357">
                  <c:v>41213</c:v>
                </c:pt>
                <c:pt idx="358">
                  <c:v>41243</c:v>
                </c:pt>
                <c:pt idx="359">
                  <c:v>41274</c:v>
                </c:pt>
                <c:pt idx="360">
                  <c:v>41305</c:v>
                </c:pt>
                <c:pt idx="361">
                  <c:v>41333</c:v>
                </c:pt>
                <c:pt idx="362">
                  <c:v>41362</c:v>
                </c:pt>
                <c:pt idx="363">
                  <c:v>41394</c:v>
                </c:pt>
                <c:pt idx="364">
                  <c:v>41425</c:v>
                </c:pt>
                <c:pt idx="365">
                  <c:v>41453</c:v>
                </c:pt>
                <c:pt idx="366">
                  <c:v>41486</c:v>
                </c:pt>
                <c:pt idx="367">
                  <c:v>41516</c:v>
                </c:pt>
                <c:pt idx="368">
                  <c:v>41547</c:v>
                </c:pt>
                <c:pt idx="369">
                  <c:v>41578</c:v>
                </c:pt>
                <c:pt idx="370">
                  <c:v>41607</c:v>
                </c:pt>
                <c:pt idx="371">
                  <c:v>41639</c:v>
                </c:pt>
                <c:pt idx="372">
                  <c:v>41670</c:v>
                </c:pt>
                <c:pt idx="373">
                  <c:v>41698</c:v>
                </c:pt>
                <c:pt idx="374">
                  <c:v>41729</c:v>
                </c:pt>
                <c:pt idx="375">
                  <c:v>41759</c:v>
                </c:pt>
                <c:pt idx="376">
                  <c:v>41789</c:v>
                </c:pt>
                <c:pt idx="377">
                  <c:v>41820</c:v>
                </c:pt>
                <c:pt idx="378">
                  <c:v>41851</c:v>
                </c:pt>
                <c:pt idx="379">
                  <c:v>41880</c:v>
                </c:pt>
                <c:pt idx="380">
                  <c:v>41912</c:v>
                </c:pt>
                <c:pt idx="381">
                  <c:v>41943</c:v>
                </c:pt>
                <c:pt idx="382">
                  <c:v>41971</c:v>
                </c:pt>
                <c:pt idx="383">
                  <c:v>42004</c:v>
                </c:pt>
                <c:pt idx="384">
                  <c:v>42034</c:v>
                </c:pt>
                <c:pt idx="385">
                  <c:v>42062</c:v>
                </c:pt>
                <c:pt idx="386">
                  <c:v>42094</c:v>
                </c:pt>
                <c:pt idx="387">
                  <c:v>42124</c:v>
                </c:pt>
                <c:pt idx="388">
                  <c:v>42153</c:v>
                </c:pt>
                <c:pt idx="389">
                  <c:v>42185</c:v>
                </c:pt>
                <c:pt idx="390">
                  <c:v>42216</c:v>
                </c:pt>
                <c:pt idx="391">
                  <c:v>42247</c:v>
                </c:pt>
                <c:pt idx="392">
                  <c:v>42277</c:v>
                </c:pt>
                <c:pt idx="393">
                  <c:v>42307</c:v>
                </c:pt>
                <c:pt idx="394">
                  <c:v>42338</c:v>
                </c:pt>
                <c:pt idx="395">
                  <c:v>42369</c:v>
                </c:pt>
                <c:pt idx="396">
                  <c:v>42398</c:v>
                </c:pt>
                <c:pt idx="397">
                  <c:v>42429</c:v>
                </c:pt>
                <c:pt idx="398">
                  <c:v>42460</c:v>
                </c:pt>
                <c:pt idx="399">
                  <c:v>42489</c:v>
                </c:pt>
                <c:pt idx="400">
                  <c:v>42521</c:v>
                </c:pt>
                <c:pt idx="401">
                  <c:v>42551</c:v>
                </c:pt>
                <c:pt idx="402">
                  <c:v>42580</c:v>
                </c:pt>
                <c:pt idx="403">
                  <c:v>42613</c:v>
                </c:pt>
                <c:pt idx="404">
                  <c:v>42643</c:v>
                </c:pt>
                <c:pt idx="405">
                  <c:v>42674</c:v>
                </c:pt>
                <c:pt idx="406">
                  <c:v>42704</c:v>
                </c:pt>
                <c:pt idx="407">
                  <c:v>42734</c:v>
                </c:pt>
                <c:pt idx="408">
                  <c:v>42766</c:v>
                </c:pt>
                <c:pt idx="409">
                  <c:v>42794</c:v>
                </c:pt>
                <c:pt idx="410">
                  <c:v>42825</c:v>
                </c:pt>
                <c:pt idx="411">
                  <c:v>42853</c:v>
                </c:pt>
                <c:pt idx="412">
                  <c:v>42886</c:v>
                </c:pt>
                <c:pt idx="413">
                  <c:v>42916</c:v>
                </c:pt>
                <c:pt idx="414">
                  <c:v>42947</c:v>
                </c:pt>
                <c:pt idx="415">
                  <c:v>42978</c:v>
                </c:pt>
                <c:pt idx="416">
                  <c:v>43007</c:v>
                </c:pt>
                <c:pt idx="417">
                  <c:v>43039</c:v>
                </c:pt>
                <c:pt idx="418">
                  <c:v>43069</c:v>
                </c:pt>
                <c:pt idx="419">
                  <c:v>43098</c:v>
                </c:pt>
                <c:pt idx="420">
                  <c:v>43131</c:v>
                </c:pt>
                <c:pt idx="421">
                  <c:v>43159</c:v>
                </c:pt>
                <c:pt idx="422">
                  <c:v>43189</c:v>
                </c:pt>
                <c:pt idx="423">
                  <c:v>43220</c:v>
                </c:pt>
                <c:pt idx="424">
                  <c:v>43251</c:v>
                </c:pt>
                <c:pt idx="425">
                  <c:v>43280</c:v>
                </c:pt>
                <c:pt idx="426">
                  <c:v>43312</c:v>
                </c:pt>
                <c:pt idx="427">
                  <c:v>43343</c:v>
                </c:pt>
                <c:pt idx="428">
                  <c:v>43371</c:v>
                </c:pt>
                <c:pt idx="429">
                  <c:v>43404</c:v>
                </c:pt>
                <c:pt idx="430">
                  <c:v>43434</c:v>
                </c:pt>
                <c:pt idx="431">
                  <c:v>43465</c:v>
                </c:pt>
                <c:pt idx="432">
                  <c:v>43496</c:v>
                </c:pt>
                <c:pt idx="433">
                  <c:v>43524</c:v>
                </c:pt>
                <c:pt idx="434">
                  <c:v>43553</c:v>
                </c:pt>
                <c:pt idx="435">
                  <c:v>43585</c:v>
                </c:pt>
                <c:pt idx="436">
                  <c:v>43616</c:v>
                </c:pt>
                <c:pt idx="437">
                  <c:v>43644</c:v>
                </c:pt>
                <c:pt idx="438">
                  <c:v>43677</c:v>
                </c:pt>
                <c:pt idx="439">
                  <c:v>43707</c:v>
                </c:pt>
                <c:pt idx="440">
                  <c:v>43738</c:v>
                </c:pt>
                <c:pt idx="441">
                  <c:v>43769</c:v>
                </c:pt>
                <c:pt idx="442">
                  <c:v>43798</c:v>
                </c:pt>
                <c:pt idx="443">
                  <c:v>43830</c:v>
                </c:pt>
                <c:pt idx="444">
                  <c:v>43861</c:v>
                </c:pt>
                <c:pt idx="445">
                  <c:v>43889</c:v>
                </c:pt>
                <c:pt idx="446">
                  <c:v>43921</c:v>
                </c:pt>
                <c:pt idx="447">
                  <c:v>43951</c:v>
                </c:pt>
                <c:pt idx="448">
                  <c:v>43980</c:v>
                </c:pt>
                <c:pt idx="449">
                  <c:v>44012</c:v>
                </c:pt>
                <c:pt idx="450">
                  <c:v>44043</c:v>
                </c:pt>
                <c:pt idx="451">
                  <c:v>44074</c:v>
                </c:pt>
                <c:pt idx="452">
                  <c:v>44104</c:v>
                </c:pt>
                <c:pt idx="453">
                  <c:v>44134</c:v>
                </c:pt>
                <c:pt idx="454">
                  <c:v>44165</c:v>
                </c:pt>
                <c:pt idx="455">
                  <c:v>44196</c:v>
                </c:pt>
                <c:pt idx="456">
                  <c:v>44225</c:v>
                </c:pt>
                <c:pt idx="457">
                  <c:v>44253</c:v>
                </c:pt>
                <c:pt idx="458">
                  <c:v>44286</c:v>
                </c:pt>
                <c:pt idx="459">
                  <c:v>44316</c:v>
                </c:pt>
                <c:pt idx="460">
                  <c:v>44347</c:v>
                </c:pt>
                <c:pt idx="461">
                  <c:v>44377</c:v>
                </c:pt>
                <c:pt idx="462">
                  <c:v>44407</c:v>
                </c:pt>
                <c:pt idx="463">
                  <c:v>44439</c:v>
                </c:pt>
                <c:pt idx="464">
                  <c:v>44469</c:v>
                </c:pt>
                <c:pt idx="465">
                  <c:v>44498</c:v>
                </c:pt>
                <c:pt idx="466">
                  <c:v>44530</c:v>
                </c:pt>
                <c:pt idx="467">
                  <c:v>44561</c:v>
                </c:pt>
                <c:pt idx="468">
                  <c:v>44592</c:v>
                </c:pt>
                <c:pt idx="469">
                  <c:v>44620</c:v>
                </c:pt>
                <c:pt idx="470">
                  <c:v>44651</c:v>
                </c:pt>
                <c:pt idx="471">
                  <c:v>44680</c:v>
                </c:pt>
                <c:pt idx="472">
                  <c:v>44712</c:v>
                </c:pt>
                <c:pt idx="473">
                  <c:v>44742</c:v>
                </c:pt>
                <c:pt idx="474">
                  <c:v>44771</c:v>
                </c:pt>
                <c:pt idx="475">
                  <c:v>44804</c:v>
                </c:pt>
                <c:pt idx="476">
                  <c:v>44834</c:v>
                </c:pt>
                <c:pt idx="477">
                  <c:v>44865</c:v>
                </c:pt>
                <c:pt idx="478">
                  <c:v>44895</c:v>
                </c:pt>
                <c:pt idx="479">
                  <c:v>44925</c:v>
                </c:pt>
                <c:pt idx="480">
                  <c:v>44957</c:v>
                </c:pt>
                <c:pt idx="481">
                  <c:v>44985</c:v>
                </c:pt>
                <c:pt idx="482">
                  <c:v>45016</c:v>
                </c:pt>
                <c:pt idx="483">
                  <c:v>45044</c:v>
                </c:pt>
                <c:pt idx="484">
                  <c:v>45077</c:v>
                </c:pt>
                <c:pt idx="485">
                  <c:v>45107</c:v>
                </c:pt>
                <c:pt idx="486">
                  <c:v>45138</c:v>
                </c:pt>
                <c:pt idx="487">
                  <c:v>45169</c:v>
                </c:pt>
                <c:pt idx="488">
                  <c:v>45198</c:v>
                </c:pt>
                <c:pt idx="489">
                  <c:v>45230</c:v>
                </c:pt>
                <c:pt idx="490">
                  <c:v>45260</c:v>
                </c:pt>
                <c:pt idx="491">
                  <c:v>45289</c:v>
                </c:pt>
                <c:pt idx="492">
                  <c:v>45322</c:v>
                </c:pt>
                <c:pt idx="493">
                  <c:v>45351</c:v>
                </c:pt>
                <c:pt idx="494">
                  <c:v>45380</c:v>
                </c:pt>
                <c:pt idx="495">
                  <c:v>45412</c:v>
                </c:pt>
                <c:pt idx="496">
                  <c:v>45443</c:v>
                </c:pt>
                <c:pt idx="497">
                  <c:v>45471</c:v>
                </c:pt>
                <c:pt idx="498">
                  <c:v>45504</c:v>
                </c:pt>
                <c:pt idx="499">
                  <c:v>45534</c:v>
                </c:pt>
                <c:pt idx="500">
                  <c:v>45565</c:v>
                </c:pt>
                <c:pt idx="501">
                  <c:v>45596</c:v>
                </c:pt>
                <c:pt idx="502">
                  <c:v>45625</c:v>
                </c:pt>
                <c:pt idx="503">
                  <c:v>45657</c:v>
                </c:pt>
                <c:pt idx="504">
                  <c:v>45688</c:v>
                </c:pt>
                <c:pt idx="505">
                  <c:v>45716</c:v>
                </c:pt>
                <c:pt idx="506">
                  <c:v>45747</c:v>
                </c:pt>
              </c:numCache>
            </c:numRef>
          </c:cat>
          <c:val>
            <c:numRef>
              <c:f>'Raw Data'!$I$126:$I$700</c:f>
              <c:numCache>
                <c:formatCode>0.0%</c:formatCode>
                <c:ptCount val="575"/>
                <c:pt idx="0">
                  <c:v>2.1485612237225699E-2</c:v>
                </c:pt>
                <c:pt idx="1">
                  <c:v>1.6835182528162948E-2</c:v>
                </c:pt>
                <c:pt idx="2">
                  <c:v>2.1229505572635171E-2</c:v>
                </c:pt>
                <c:pt idx="3">
                  <c:v>1.7705464835244142E-2</c:v>
                </c:pt>
                <c:pt idx="4">
                  <c:v>2.3162513264077728E-2</c:v>
                </c:pt>
                <c:pt idx="5">
                  <c:v>2.5182764609488734E-2</c:v>
                </c:pt>
                <c:pt idx="6">
                  <c:v>3.2747167630723897E-2</c:v>
                </c:pt>
                <c:pt idx="7">
                  <c:v>3.6566315769989685E-2</c:v>
                </c:pt>
                <c:pt idx="8">
                  <c:v>3.1322515051233235E-2</c:v>
                </c:pt>
                <c:pt idx="9">
                  <c:v>3.484600028707413E-2</c:v>
                </c:pt>
                <c:pt idx="10">
                  <c:v>3.4134094531590164E-2</c:v>
                </c:pt>
                <c:pt idx="11">
                  <c:v>3.6652254403057555E-2</c:v>
                </c:pt>
                <c:pt idx="12">
                  <c:v>3.5569825096136237E-2</c:v>
                </c:pt>
                <c:pt idx="13">
                  <c:v>3.9890419424345611E-2</c:v>
                </c:pt>
                <c:pt idx="14">
                  <c:v>4.561082333005409E-2</c:v>
                </c:pt>
                <c:pt idx="15">
                  <c:v>4.8767413826453915E-2</c:v>
                </c:pt>
                <c:pt idx="16">
                  <c:v>6.0574524091663529E-2</c:v>
                </c:pt>
                <c:pt idx="17">
                  <c:v>6.0550144997567529E-2</c:v>
                </c:pt>
                <c:pt idx="18">
                  <c:v>5.1493056630987022E-2</c:v>
                </c:pt>
                <c:pt idx="19">
                  <c:v>5.1286068571948146E-2</c:v>
                </c:pt>
                <c:pt idx="20">
                  <c:v>4.927626698838436E-2</c:v>
                </c:pt>
                <c:pt idx="21">
                  <c:v>4.2912896766189021E-2</c:v>
                </c:pt>
                <c:pt idx="22">
                  <c:v>4.1656971202175139E-2</c:v>
                </c:pt>
                <c:pt idx="23">
                  <c:v>4.198402841503597E-2</c:v>
                </c:pt>
                <c:pt idx="24">
                  <c:v>3.8804731993591218E-2</c:v>
                </c:pt>
                <c:pt idx="25">
                  <c:v>4.6211100273417585E-2</c:v>
                </c:pt>
                <c:pt idx="26">
                  <c:v>4.3514796640053713E-2</c:v>
                </c:pt>
                <c:pt idx="27">
                  <c:v>4.131969738663091E-2</c:v>
                </c:pt>
                <c:pt idx="28">
                  <c:v>3.0021585534190973E-2</c:v>
                </c:pt>
                <c:pt idx="29">
                  <c:v>3.0226758781139965E-2</c:v>
                </c:pt>
                <c:pt idx="30">
                  <c:v>3.4224625113993143E-2</c:v>
                </c:pt>
                <c:pt idx="31">
                  <c:v>3.1521927041718176E-2</c:v>
                </c:pt>
                <c:pt idx="32">
                  <c:v>3.2411088103923499E-2</c:v>
                </c:pt>
                <c:pt idx="33">
                  <c:v>2.9602297934008398E-2</c:v>
                </c:pt>
                <c:pt idx="34">
                  <c:v>2.5687210525215401E-2</c:v>
                </c:pt>
                <c:pt idx="35">
                  <c:v>1.9876422495361062E-2</c:v>
                </c:pt>
                <c:pt idx="36">
                  <c:v>2.0670467880774104E-2</c:v>
                </c:pt>
                <c:pt idx="37">
                  <c:v>1.1556929393126664E-2</c:v>
                </c:pt>
                <c:pt idx="38">
                  <c:v>4.9345407909232863E-3</c:v>
                </c:pt>
                <c:pt idx="39">
                  <c:v>5.4177396665585908E-3</c:v>
                </c:pt>
                <c:pt idx="40">
                  <c:v>1.2393053846475363E-2</c:v>
                </c:pt>
                <c:pt idx="41">
                  <c:v>5.5684273580581672E-3</c:v>
                </c:pt>
                <c:pt idx="42">
                  <c:v>5.9343067407092442E-3</c:v>
                </c:pt>
                <c:pt idx="43">
                  <c:v>2.4971161514967255E-3</c:v>
                </c:pt>
                <c:pt idx="44">
                  <c:v>7.6655775602356563E-3</c:v>
                </c:pt>
                <c:pt idx="45">
                  <c:v>6.9259238632718156E-3</c:v>
                </c:pt>
                <c:pt idx="46">
                  <c:v>5.200282615829388E-3</c:v>
                </c:pt>
                <c:pt idx="47">
                  <c:v>6.1637962565783411E-3</c:v>
                </c:pt>
                <c:pt idx="48">
                  <c:v>5.6342941346144981E-3</c:v>
                </c:pt>
                <c:pt idx="49">
                  <c:v>6.4361700049208465E-3</c:v>
                </c:pt>
                <c:pt idx="50">
                  <c:v>9.7932968271801646E-3</c:v>
                </c:pt>
                <c:pt idx="51">
                  <c:v>1.7032171482297132E-2</c:v>
                </c:pt>
                <c:pt idx="52">
                  <c:v>1.9903463929904747E-2</c:v>
                </c:pt>
                <c:pt idx="53">
                  <c:v>1.8862675506855636E-2</c:v>
                </c:pt>
                <c:pt idx="54">
                  <c:v>2.1908300439553927E-2</c:v>
                </c:pt>
                <c:pt idx="55">
                  <c:v>2.5065582303466782E-2</c:v>
                </c:pt>
                <c:pt idx="56">
                  <c:v>3.171157702116173E-2</c:v>
                </c:pt>
                <c:pt idx="57">
                  <c:v>2.36832188981701E-2</c:v>
                </c:pt>
                <c:pt idx="58">
                  <c:v>2.5792526769124344E-2</c:v>
                </c:pt>
                <c:pt idx="59">
                  <c:v>2.4571860632438908E-2</c:v>
                </c:pt>
                <c:pt idx="60">
                  <c:v>1.9265177915064866E-2</c:v>
                </c:pt>
                <c:pt idx="61">
                  <c:v>1.8389548669448488E-2</c:v>
                </c:pt>
                <c:pt idx="62">
                  <c:v>2.2958222924825925E-2</c:v>
                </c:pt>
                <c:pt idx="63">
                  <c:v>2.6136392849033005E-2</c:v>
                </c:pt>
                <c:pt idx="64">
                  <c:v>3.0317545213831065E-2</c:v>
                </c:pt>
                <c:pt idx="65">
                  <c:v>2.6656541100585185E-2</c:v>
                </c:pt>
                <c:pt idx="66">
                  <c:v>3.0111035148262411E-2</c:v>
                </c:pt>
                <c:pt idx="67">
                  <c:v>3.1660262278041015E-2</c:v>
                </c:pt>
                <c:pt idx="68">
                  <c:v>2.8206851506332911E-2</c:v>
                </c:pt>
                <c:pt idx="69">
                  <c:v>2.66547706949401E-2</c:v>
                </c:pt>
                <c:pt idx="70">
                  <c:v>3.113165042679851E-2</c:v>
                </c:pt>
                <c:pt idx="71">
                  <c:v>3.2235909206323313E-2</c:v>
                </c:pt>
                <c:pt idx="72">
                  <c:v>3.1309786609572343E-2</c:v>
                </c:pt>
                <c:pt idx="73">
                  <c:v>3.5237112640580465E-2</c:v>
                </c:pt>
                <c:pt idx="74">
                  <c:v>3.559106775626629E-2</c:v>
                </c:pt>
                <c:pt idx="75">
                  <c:v>3.300877117844378E-2</c:v>
                </c:pt>
                <c:pt idx="76">
                  <c:v>2.9535723117563417E-2</c:v>
                </c:pt>
                <c:pt idx="77">
                  <c:v>2.5311476986122031E-2</c:v>
                </c:pt>
                <c:pt idx="78">
                  <c:v>2.3294714262742169E-2</c:v>
                </c:pt>
                <c:pt idx="79">
                  <c:v>2.8730901147520568E-2</c:v>
                </c:pt>
                <c:pt idx="80">
                  <c:v>2.9943209998056178E-2</c:v>
                </c:pt>
                <c:pt idx="81">
                  <c:v>2.6764255002277609E-2</c:v>
                </c:pt>
                <c:pt idx="82">
                  <c:v>2.6608947342971701E-2</c:v>
                </c:pt>
                <c:pt idx="83">
                  <c:v>2.8463128685132774E-2</c:v>
                </c:pt>
                <c:pt idx="84">
                  <c:v>3.3861816360560154E-2</c:v>
                </c:pt>
                <c:pt idx="85">
                  <c:v>3.5828370657111239E-2</c:v>
                </c:pt>
                <c:pt idx="86">
                  <c:v>3.8018322992779505E-2</c:v>
                </c:pt>
                <c:pt idx="87">
                  <c:v>4.2715691064033126E-2</c:v>
                </c:pt>
                <c:pt idx="88">
                  <c:v>3.9363839455566291E-2</c:v>
                </c:pt>
                <c:pt idx="89">
                  <c:v>3.7787137204439575E-2</c:v>
                </c:pt>
                <c:pt idx="90">
                  <c:v>3.6711608982988461E-2</c:v>
                </c:pt>
                <c:pt idx="91">
                  <c:v>4.1670579025834764E-2</c:v>
                </c:pt>
                <c:pt idx="92">
                  <c:v>4.13441619677683E-2</c:v>
                </c:pt>
                <c:pt idx="93">
                  <c:v>3.9798893174750549E-2</c:v>
                </c:pt>
                <c:pt idx="94">
                  <c:v>3.6959543315127782E-2</c:v>
                </c:pt>
                <c:pt idx="95">
                  <c:v>3.577174425903959E-2</c:v>
                </c:pt>
                <c:pt idx="96">
                  <c:v>3.5766116097876721E-2</c:v>
                </c:pt>
                <c:pt idx="97">
                  <c:v>3.6882075471886905E-2</c:v>
                </c:pt>
                <c:pt idx="98">
                  <c:v>3.778094351108692E-2</c:v>
                </c:pt>
                <c:pt idx="99">
                  <c:v>3.7675917188665448E-2</c:v>
                </c:pt>
                <c:pt idx="100">
                  <c:v>3.8420424916903492E-2</c:v>
                </c:pt>
                <c:pt idx="101">
                  <c:v>4.0748632116731673E-2</c:v>
                </c:pt>
                <c:pt idx="102">
                  <c:v>4.0989696010136883E-2</c:v>
                </c:pt>
                <c:pt idx="103">
                  <c:v>3.8057468639574543E-2</c:v>
                </c:pt>
                <c:pt idx="104">
                  <c:v>3.5133459558392172E-2</c:v>
                </c:pt>
                <c:pt idx="105">
                  <c:v>3.5016206256876445E-2</c:v>
                </c:pt>
                <c:pt idx="106">
                  <c:v>3.4526839609990784E-2</c:v>
                </c:pt>
                <c:pt idx="107">
                  <c:v>2.7807458309461075E-2</c:v>
                </c:pt>
                <c:pt idx="108">
                  <c:v>3.3833034525174333E-2</c:v>
                </c:pt>
                <c:pt idx="109">
                  <c:v>3.3697553522993168E-2</c:v>
                </c:pt>
                <c:pt idx="110">
                  <c:v>3.6113404933758378E-2</c:v>
                </c:pt>
                <c:pt idx="111">
                  <c:v>3.6738201795777969E-2</c:v>
                </c:pt>
                <c:pt idx="112">
                  <c:v>3.4884314978092801E-2</c:v>
                </c:pt>
                <c:pt idx="113">
                  <c:v>3.3781277832981668E-2</c:v>
                </c:pt>
                <c:pt idx="114">
                  <c:v>2.9748864151712823E-2</c:v>
                </c:pt>
                <c:pt idx="115">
                  <c:v>2.8820174992579287E-2</c:v>
                </c:pt>
                <c:pt idx="116">
                  <c:v>2.6099388059731624E-2</c:v>
                </c:pt>
                <c:pt idx="117">
                  <c:v>3.0433050283622073E-2</c:v>
                </c:pt>
                <c:pt idx="118">
                  <c:v>3.1424717317128467E-2</c:v>
                </c:pt>
                <c:pt idx="119">
                  <c:v>2.8580444185579298E-2</c:v>
                </c:pt>
                <c:pt idx="120">
                  <c:v>2.5138573204479819E-2</c:v>
                </c:pt>
                <c:pt idx="121">
                  <c:v>2.1556650326693211E-2</c:v>
                </c:pt>
                <c:pt idx="122">
                  <c:v>2.1617519884746736E-2</c:v>
                </c:pt>
                <c:pt idx="123">
                  <c:v>2.1844173211960999E-2</c:v>
                </c:pt>
                <c:pt idx="124">
                  <c:v>2.3355256966308115E-2</c:v>
                </c:pt>
                <c:pt idx="125">
                  <c:v>1.9802368173169216E-2</c:v>
                </c:pt>
                <c:pt idx="126">
                  <c:v>2.0395427059363549E-2</c:v>
                </c:pt>
                <c:pt idx="127">
                  <c:v>1.6851672870744225E-2</c:v>
                </c:pt>
                <c:pt idx="128">
                  <c:v>1.6298948666926591E-2</c:v>
                </c:pt>
                <c:pt idx="129">
                  <c:v>1.674305028362208E-2</c:v>
                </c:pt>
                <c:pt idx="130">
                  <c:v>2.0736733541527552E-2</c:v>
                </c:pt>
                <c:pt idx="131">
                  <c:v>2.0581164595760121E-2</c:v>
                </c:pt>
                <c:pt idx="132">
                  <c:v>1.9824570322668371E-2</c:v>
                </c:pt>
                <c:pt idx="133">
                  <c:v>2.4927921461017973E-2</c:v>
                </c:pt>
                <c:pt idx="134">
                  <c:v>3.0968314299999009E-2</c:v>
                </c:pt>
                <c:pt idx="135">
                  <c:v>3.4349919399488713E-2</c:v>
                </c:pt>
                <c:pt idx="136">
                  <c:v>3.5459379307404698E-2</c:v>
                </c:pt>
                <c:pt idx="137">
                  <c:v>3.7108802630090046E-2</c:v>
                </c:pt>
                <c:pt idx="138">
                  <c:v>3.4928007741780759E-2</c:v>
                </c:pt>
                <c:pt idx="139">
                  <c:v>3.5548096427515621E-2</c:v>
                </c:pt>
                <c:pt idx="140">
                  <c:v>3.9857004135989194E-2</c:v>
                </c:pt>
                <c:pt idx="141">
                  <c:v>4.2182667726470779E-2</c:v>
                </c:pt>
                <c:pt idx="142">
                  <c:v>4.314263301541113E-2</c:v>
                </c:pt>
                <c:pt idx="143">
                  <c:v>4.2331949565461754E-2</c:v>
                </c:pt>
                <c:pt idx="144">
                  <c:v>3.9822451887158578E-2</c:v>
                </c:pt>
                <c:pt idx="145">
                  <c:v>3.640382841567423E-2</c:v>
                </c:pt>
                <c:pt idx="146">
                  <c:v>3.6584095303795E-2</c:v>
                </c:pt>
                <c:pt idx="147">
                  <c:v>3.4937731600513736E-2</c:v>
                </c:pt>
                <c:pt idx="148">
                  <c:v>2.7216658975434696E-2</c:v>
                </c:pt>
                <c:pt idx="149">
                  <c:v>2.6532005219783557E-2</c:v>
                </c:pt>
                <c:pt idx="150">
                  <c:v>2.8718673530155767E-2</c:v>
                </c:pt>
                <c:pt idx="151">
                  <c:v>2.7387417384849039E-2</c:v>
                </c:pt>
                <c:pt idx="152">
                  <c:v>2.623381417331274E-2</c:v>
                </c:pt>
                <c:pt idx="153">
                  <c:v>2.4916066251382825E-2</c:v>
                </c:pt>
                <c:pt idx="154">
                  <c:v>2.2447207462988485E-2</c:v>
                </c:pt>
                <c:pt idx="155">
                  <c:v>2.1116234373720219E-2</c:v>
                </c:pt>
                <c:pt idx="156">
                  <c:v>2.097705513584832E-2</c:v>
                </c:pt>
                <c:pt idx="157">
                  <c:v>2.5858022278396703E-2</c:v>
                </c:pt>
                <c:pt idx="158">
                  <c:v>2.7156503510907259E-2</c:v>
                </c:pt>
                <c:pt idx="159">
                  <c:v>2.9596648296384184E-2</c:v>
                </c:pt>
                <c:pt idx="160">
                  <c:v>3.1713334686392827E-2</c:v>
                </c:pt>
                <c:pt idx="161">
                  <c:v>3.0554409506507146E-2</c:v>
                </c:pt>
                <c:pt idx="162">
                  <c:v>3.1290849773554077E-2</c:v>
                </c:pt>
                <c:pt idx="163">
                  <c:v>3.2673502437499877E-2</c:v>
                </c:pt>
                <c:pt idx="164">
                  <c:v>3.0331955548801956E-2</c:v>
                </c:pt>
                <c:pt idx="165">
                  <c:v>2.6592095091559506E-2</c:v>
                </c:pt>
                <c:pt idx="166">
                  <c:v>2.3482910046143946E-2</c:v>
                </c:pt>
                <c:pt idx="167">
                  <c:v>2.7336899859869854E-2</c:v>
                </c:pt>
                <c:pt idx="168">
                  <c:v>2.8461464663917635E-2</c:v>
                </c:pt>
                <c:pt idx="169">
                  <c:v>2.9178059793838487E-2</c:v>
                </c:pt>
                <c:pt idx="170">
                  <c:v>3.3053252841092451E-2</c:v>
                </c:pt>
                <c:pt idx="171">
                  <c:v>3.1509015160323006E-2</c:v>
                </c:pt>
                <c:pt idx="172">
                  <c:v>3.1194282494363484E-2</c:v>
                </c:pt>
                <c:pt idx="173">
                  <c:v>2.9917284289115068E-2</c:v>
                </c:pt>
                <c:pt idx="174">
                  <c:v>2.5191357472559413E-2</c:v>
                </c:pt>
                <c:pt idx="175">
                  <c:v>2.8627289156011079E-2</c:v>
                </c:pt>
                <c:pt idx="176">
                  <c:v>2.6411685342031838E-2</c:v>
                </c:pt>
                <c:pt idx="177">
                  <c:v>2.3769567612091841E-2</c:v>
                </c:pt>
                <c:pt idx="178">
                  <c:v>2.4320720374656532E-2</c:v>
                </c:pt>
                <c:pt idx="179">
                  <c:v>2.3105870248747315E-2</c:v>
                </c:pt>
                <c:pt idx="180">
                  <c:v>2.117532256719671E-2</c:v>
                </c:pt>
                <c:pt idx="181">
                  <c:v>2.2453423493998523E-2</c:v>
                </c:pt>
                <c:pt idx="182">
                  <c:v>2.3039943618635983E-2</c:v>
                </c:pt>
                <c:pt idx="183">
                  <c:v>2.3831451290733476E-2</c:v>
                </c:pt>
                <c:pt idx="184">
                  <c:v>2.2521099836541797E-2</c:v>
                </c:pt>
                <c:pt idx="185">
                  <c:v>2.1732718184538549E-2</c:v>
                </c:pt>
                <c:pt idx="186">
                  <c:v>2.2415940051114143E-2</c:v>
                </c:pt>
                <c:pt idx="187">
                  <c:v>1.7524184305080952E-2</c:v>
                </c:pt>
                <c:pt idx="188">
                  <c:v>1.2253761872065255E-2</c:v>
                </c:pt>
                <c:pt idx="189">
                  <c:v>1.4296437648878418E-2</c:v>
                </c:pt>
                <c:pt idx="190">
                  <c:v>1.5644222851740164E-2</c:v>
                </c:pt>
                <c:pt idx="191">
                  <c:v>1.5098221771439851E-2</c:v>
                </c:pt>
                <c:pt idx="192">
                  <c:v>1.5346525006928541E-2</c:v>
                </c:pt>
                <c:pt idx="193">
                  <c:v>2.196622008134199E-2</c:v>
                </c:pt>
                <c:pt idx="194">
                  <c:v>2.1980925947926833E-2</c:v>
                </c:pt>
                <c:pt idx="195">
                  <c:v>2.3161545032320818E-2</c:v>
                </c:pt>
                <c:pt idx="196">
                  <c:v>2.6350318916215504E-2</c:v>
                </c:pt>
                <c:pt idx="197">
                  <c:v>2.8432743243677117E-2</c:v>
                </c:pt>
                <c:pt idx="198">
                  <c:v>2.9400818285375038E-2</c:v>
                </c:pt>
                <c:pt idx="199">
                  <c:v>2.9874025459468587E-2</c:v>
                </c:pt>
                <c:pt idx="200">
                  <c:v>2.8741350335828572E-2</c:v>
                </c:pt>
                <c:pt idx="201">
                  <c:v>3.0441340690126148E-2</c:v>
                </c:pt>
                <c:pt idx="202">
                  <c:v>3.2247472360285433E-2</c:v>
                </c:pt>
                <c:pt idx="203">
                  <c:v>3.4989789709592406E-2</c:v>
                </c:pt>
                <c:pt idx="204">
                  <c:v>3.7868560807441651E-2</c:v>
                </c:pt>
                <c:pt idx="205">
                  <c:v>3.5306725259218977E-2</c:v>
                </c:pt>
                <c:pt idx="206">
                  <c:v>3.1184439737058228E-2</c:v>
                </c:pt>
                <c:pt idx="207">
                  <c:v>3.3534328634757055E-2</c:v>
                </c:pt>
                <c:pt idx="208">
                  <c:v>3.4153397769492055E-2</c:v>
                </c:pt>
                <c:pt idx="209">
                  <c:v>3.1659758823948982E-2</c:v>
                </c:pt>
                <c:pt idx="210">
                  <c:v>3.194552061288361E-2</c:v>
                </c:pt>
                <c:pt idx="211">
                  <c:v>2.9738388161868183E-2</c:v>
                </c:pt>
                <c:pt idx="212">
                  <c:v>3.0444612987476208E-2</c:v>
                </c:pt>
                <c:pt idx="213">
                  <c:v>3.068257935850572E-2</c:v>
                </c:pt>
                <c:pt idx="214">
                  <c:v>2.7926253092941826E-2</c:v>
                </c:pt>
                <c:pt idx="215">
                  <c:v>2.44340175351688E-2</c:v>
                </c:pt>
                <c:pt idx="216">
                  <c:v>2.4249466928291052E-2</c:v>
                </c:pt>
                <c:pt idx="217">
                  <c:v>2.2012015193994899E-2</c:v>
                </c:pt>
                <c:pt idx="218">
                  <c:v>2.2023676245876984E-2</c:v>
                </c:pt>
                <c:pt idx="219">
                  <c:v>2.6327177670602817E-2</c:v>
                </c:pt>
                <c:pt idx="220">
                  <c:v>2.6613902867395504E-2</c:v>
                </c:pt>
                <c:pt idx="221">
                  <c:v>2.6544979776795624E-2</c:v>
                </c:pt>
                <c:pt idx="222">
                  <c:v>2.3659408799693485E-2</c:v>
                </c:pt>
                <c:pt idx="223">
                  <c:v>2.1920473546675812E-2</c:v>
                </c:pt>
                <c:pt idx="224">
                  <c:v>1.9236368695767975E-2</c:v>
                </c:pt>
                <c:pt idx="225">
                  <c:v>1.6294641641883399E-2</c:v>
                </c:pt>
                <c:pt idx="226">
                  <c:v>2.1860085077038197E-2</c:v>
                </c:pt>
                <c:pt idx="227">
                  <c:v>2.5005109570428508E-2</c:v>
                </c:pt>
                <c:pt idx="228">
                  <c:v>2.4946027613461229E-2</c:v>
                </c:pt>
                <c:pt idx="229">
                  <c:v>2.3405248241760594E-2</c:v>
                </c:pt>
                <c:pt idx="230">
                  <c:v>2.8766857666476617E-2</c:v>
                </c:pt>
                <c:pt idx="231">
                  <c:v>2.539924002290074E-2</c:v>
                </c:pt>
                <c:pt idx="232">
                  <c:v>2.5065366735279933E-2</c:v>
                </c:pt>
                <c:pt idx="233">
                  <c:v>2.2941407626762923E-2</c:v>
                </c:pt>
                <c:pt idx="234">
                  <c:v>1.9505614814799489E-2</c:v>
                </c:pt>
                <c:pt idx="235">
                  <c:v>1.6149907677056922E-2</c:v>
                </c:pt>
                <c:pt idx="236">
                  <c:v>1.0897857433470798E-2</c:v>
                </c:pt>
                <c:pt idx="237">
                  <c:v>1.4046274586836188E-2</c:v>
                </c:pt>
                <c:pt idx="238">
                  <c:v>1.7335629661262474E-2</c:v>
                </c:pt>
                <c:pt idx="239">
                  <c:v>1.3350516433103678E-2</c:v>
                </c:pt>
                <c:pt idx="240">
                  <c:v>1.4769997881320024E-2</c:v>
                </c:pt>
                <c:pt idx="241">
                  <c:v>1.1685282393454947E-2</c:v>
                </c:pt>
                <c:pt idx="242">
                  <c:v>1.2761086040379566E-2</c:v>
                </c:pt>
                <c:pt idx="243">
                  <c:v>1.388892304766421E-2</c:v>
                </c:pt>
                <c:pt idx="244">
                  <c:v>9.6413165267698539E-3</c:v>
                </c:pt>
                <c:pt idx="245">
                  <c:v>1.1110388655288607E-2</c:v>
                </c:pt>
                <c:pt idx="246">
                  <c:v>1.9807174165410418E-2</c:v>
                </c:pt>
                <c:pt idx="247">
                  <c:v>2.0104479739497638E-2</c:v>
                </c:pt>
                <c:pt idx="248">
                  <c:v>1.4713234856460401E-2</c:v>
                </c:pt>
                <c:pt idx="249">
                  <c:v>1.8787021840568394E-2</c:v>
                </c:pt>
                <c:pt idx="250">
                  <c:v>1.9342603944742735E-2</c:v>
                </c:pt>
                <c:pt idx="251">
                  <c:v>1.8506416204763496E-2</c:v>
                </c:pt>
                <c:pt idx="252">
                  <c:v>1.6885643516214799E-2</c:v>
                </c:pt>
                <c:pt idx="253">
                  <c:v>1.5375634820860538E-2</c:v>
                </c:pt>
                <c:pt idx="254">
                  <c:v>1.4055331242135656E-2</c:v>
                </c:pt>
                <c:pt idx="255">
                  <c:v>2.0600825162652187E-2</c:v>
                </c:pt>
                <c:pt idx="256">
                  <c:v>2.1902976043433497E-2</c:v>
                </c:pt>
                <c:pt idx="257">
                  <c:v>2.1220058092304123E-2</c:v>
                </c:pt>
                <c:pt idx="258">
                  <c:v>2.0307445179470036E-2</c:v>
                </c:pt>
                <c:pt idx="259">
                  <c:v>1.7076613469797934E-2</c:v>
                </c:pt>
                <c:pt idx="260">
                  <c:v>1.6938331926820274E-2</c:v>
                </c:pt>
                <c:pt idx="261">
                  <c:v>1.5528555293180819E-2</c:v>
                </c:pt>
                <c:pt idx="262">
                  <c:v>1.8630293113207547E-2</c:v>
                </c:pt>
                <c:pt idx="263">
                  <c:v>1.7465334965370179E-2</c:v>
                </c:pt>
                <c:pt idx="264">
                  <c:v>1.6861478976091797E-2</c:v>
                </c:pt>
                <c:pt idx="265">
                  <c:v>1.9086532088181292E-2</c:v>
                </c:pt>
                <c:pt idx="266">
                  <c:v>2.0167915906034485E-2</c:v>
                </c:pt>
                <c:pt idx="267">
                  <c:v>1.7315838794689037E-2</c:v>
                </c:pt>
                <c:pt idx="268">
                  <c:v>1.5441025667753731E-2</c:v>
                </c:pt>
                <c:pt idx="269">
                  <c:v>1.491997031763409E-2</c:v>
                </c:pt>
                <c:pt idx="270">
                  <c:v>1.8051586753557475E-2</c:v>
                </c:pt>
                <c:pt idx="271">
                  <c:v>1.4953745541930942E-2</c:v>
                </c:pt>
                <c:pt idx="272">
                  <c:v>1.6835062917624703E-2</c:v>
                </c:pt>
                <c:pt idx="273">
                  <c:v>1.9268106153381266E-2</c:v>
                </c:pt>
                <c:pt idx="274">
                  <c:v>1.9258334277471596E-2</c:v>
                </c:pt>
                <c:pt idx="275">
                  <c:v>1.8381706855172437E-2</c:v>
                </c:pt>
                <c:pt idx="276">
                  <c:v>1.9594062476538936E-2</c:v>
                </c:pt>
                <c:pt idx="277">
                  <c:v>1.9981308306586704E-2</c:v>
                </c:pt>
                <c:pt idx="278">
                  <c:v>2.319739680118741E-2</c:v>
                </c:pt>
                <c:pt idx="279">
                  <c:v>2.5220100298761323E-2</c:v>
                </c:pt>
                <c:pt idx="280">
                  <c:v>2.5600876248521712E-2</c:v>
                </c:pt>
                <c:pt idx="281">
                  <c:v>2.578298651741006E-2</c:v>
                </c:pt>
                <c:pt idx="282">
                  <c:v>2.3931548441550196E-2</c:v>
                </c:pt>
                <c:pt idx="283">
                  <c:v>2.1018027028905067E-2</c:v>
                </c:pt>
                <c:pt idx="284">
                  <c:v>2.0868427240745738E-2</c:v>
                </c:pt>
                <c:pt idx="285">
                  <c:v>2.1378853190444136E-2</c:v>
                </c:pt>
                <c:pt idx="286">
                  <c:v>2.0181425775853717E-2</c:v>
                </c:pt>
                <c:pt idx="287">
                  <c:v>2.2322921694390124E-2</c:v>
                </c:pt>
                <c:pt idx="288">
                  <c:v>2.3516072348970816E-2</c:v>
                </c:pt>
                <c:pt idx="289">
                  <c:v>2.0642080544750564E-2</c:v>
                </c:pt>
                <c:pt idx="290">
                  <c:v>2.1154551884579369E-2</c:v>
                </c:pt>
                <c:pt idx="291">
                  <c:v>2.0661451683887853E-2</c:v>
                </c:pt>
                <c:pt idx="292">
                  <c:v>2.2888354585513346E-2</c:v>
                </c:pt>
                <c:pt idx="293">
                  <c:v>2.4203243354820166E-2</c:v>
                </c:pt>
                <c:pt idx="294">
                  <c:v>2.1248721146641697E-2</c:v>
                </c:pt>
                <c:pt idx="295">
                  <c:v>1.9412642486133141E-2</c:v>
                </c:pt>
                <c:pt idx="296">
                  <c:v>1.978369561754581E-2</c:v>
                </c:pt>
                <c:pt idx="297">
                  <c:v>1.8518589415467197E-2</c:v>
                </c:pt>
                <c:pt idx="298">
                  <c:v>1.2702037746238334E-2</c:v>
                </c:pt>
                <c:pt idx="299">
                  <c:v>1.3198334035117033E-2</c:v>
                </c:pt>
                <c:pt idx="300">
                  <c:v>8.8416803093994134E-3</c:v>
                </c:pt>
                <c:pt idx="301">
                  <c:v>7.6435551175322927E-3</c:v>
                </c:pt>
                <c:pt idx="302">
                  <c:v>6.146468915273845E-3</c:v>
                </c:pt>
                <c:pt idx="303">
                  <c:v>9.2656587011435559E-3</c:v>
                </c:pt>
                <c:pt idx="304">
                  <c:v>1.2222249166021479E-2</c:v>
                </c:pt>
                <c:pt idx="305">
                  <c:v>1.0356230303230698E-2</c:v>
                </c:pt>
                <c:pt idx="306">
                  <c:v>9.6662164997369793E-3</c:v>
                </c:pt>
                <c:pt idx="307">
                  <c:v>8.6957143016632432E-3</c:v>
                </c:pt>
                <c:pt idx="308">
                  <c:v>8.6907037452799846E-3</c:v>
                </c:pt>
                <c:pt idx="309">
                  <c:v>1.1280776651382836E-2</c:v>
                </c:pt>
                <c:pt idx="310">
                  <c:v>2.7415762056589126E-3</c:v>
                </c:pt>
                <c:pt idx="311">
                  <c:v>-3.272789866994575E-3</c:v>
                </c:pt>
                <c:pt idx="312">
                  <c:v>3.0049719624003386E-3</c:v>
                </c:pt>
                <c:pt idx="313">
                  <c:v>4.2620152950225386E-3</c:v>
                </c:pt>
                <c:pt idx="314">
                  <c:v>9.3560901143915215E-4</c:v>
                </c:pt>
                <c:pt idx="315">
                  <c:v>5.9845812423360185E-3</c:v>
                </c:pt>
                <c:pt idx="316">
                  <c:v>9.3556113563226517E-3</c:v>
                </c:pt>
                <c:pt idx="317">
                  <c:v>9.267851405981728E-3</c:v>
                </c:pt>
                <c:pt idx="318">
                  <c:v>9.1801100341026148E-3</c:v>
                </c:pt>
                <c:pt idx="319">
                  <c:v>8.2930579657993705E-3</c:v>
                </c:pt>
                <c:pt idx="320">
                  <c:v>7.5439595121049377E-3</c:v>
                </c:pt>
                <c:pt idx="321">
                  <c:v>8.2497438655252178E-3</c:v>
                </c:pt>
                <c:pt idx="322">
                  <c:v>6.2097397171693991E-3</c:v>
                </c:pt>
                <c:pt idx="323">
                  <c:v>1.2769743526893626E-2</c:v>
                </c:pt>
                <c:pt idx="324">
                  <c:v>1.0476546267995789E-2</c:v>
                </c:pt>
                <c:pt idx="325">
                  <c:v>1.1327132368960512E-2</c:v>
                </c:pt>
                <c:pt idx="326">
                  <c:v>1.405410366118745E-2</c:v>
                </c:pt>
                <c:pt idx="327">
                  <c:v>1.2230623775496871E-2</c:v>
                </c:pt>
                <c:pt idx="328">
                  <c:v>8.9035141605527876E-3</c:v>
                </c:pt>
                <c:pt idx="329">
                  <c:v>5.8626779328801032E-3</c:v>
                </c:pt>
                <c:pt idx="330">
                  <c:v>5.6682845542121787E-3</c:v>
                </c:pt>
                <c:pt idx="331">
                  <c:v>1.1688295450667553E-3</c:v>
                </c:pt>
                <c:pt idx="332">
                  <c:v>1.95558416476024E-3</c:v>
                </c:pt>
                <c:pt idx="333">
                  <c:v>2.6865986822606248E-3</c:v>
                </c:pt>
                <c:pt idx="334">
                  <c:v>4.5440121718424778E-3</c:v>
                </c:pt>
                <c:pt idx="335">
                  <c:v>9.278484430485158E-3</c:v>
                </c:pt>
                <c:pt idx="336">
                  <c:v>1.0391614646155907E-2</c:v>
                </c:pt>
                <c:pt idx="337">
                  <c:v>1.0776028889082218E-2</c:v>
                </c:pt>
                <c:pt idx="338">
                  <c:v>1.0765935948221464E-2</c:v>
                </c:pt>
                <c:pt idx="339">
                  <c:v>8.6806628981193762E-3</c:v>
                </c:pt>
                <c:pt idx="340">
                  <c:v>6.5665164614557812E-3</c:v>
                </c:pt>
                <c:pt idx="341">
                  <c:v>7.8072564147050744E-3</c:v>
                </c:pt>
                <c:pt idx="342">
                  <c:v>3.6962880829769403E-3</c:v>
                </c:pt>
                <c:pt idx="343">
                  <c:v>-2.2163448508230321E-3</c:v>
                </c:pt>
                <c:pt idx="344">
                  <c:v>-5.2051243451071358E-3</c:v>
                </c:pt>
                <c:pt idx="345">
                  <c:v>-3.5723185436258957E-3</c:v>
                </c:pt>
                <c:pt idx="346">
                  <c:v>-4.2592438634546231E-3</c:v>
                </c:pt>
                <c:pt idx="347">
                  <c:v>-6.3013704668607451E-3</c:v>
                </c:pt>
                <c:pt idx="348">
                  <c:v>-7.2170419938461169E-3</c:v>
                </c:pt>
                <c:pt idx="349">
                  <c:v>-5.4730063788733588E-3</c:v>
                </c:pt>
                <c:pt idx="350">
                  <c:v>-2.9998324850242716E-3</c:v>
                </c:pt>
                <c:pt idx="351">
                  <c:v>-5.6615659123729206E-3</c:v>
                </c:pt>
                <c:pt idx="352">
                  <c:v>-8.8951873903431525E-3</c:v>
                </c:pt>
                <c:pt idx="353">
                  <c:v>-7.9534384891312704E-3</c:v>
                </c:pt>
                <c:pt idx="354">
                  <c:v>-9.4851445495329114E-3</c:v>
                </c:pt>
                <c:pt idx="355">
                  <c:v>-9.0143712971006359E-3</c:v>
                </c:pt>
                <c:pt idx="356">
                  <c:v>-8.4819368903798591E-3</c:v>
                </c:pt>
                <c:pt idx="357">
                  <c:v>-7.9214589574207565E-3</c:v>
                </c:pt>
                <c:pt idx="358">
                  <c:v>-8.3897229813176613E-3</c:v>
                </c:pt>
                <c:pt idx="359">
                  <c:v>-6.7681309713193173E-3</c:v>
                </c:pt>
                <c:pt idx="360">
                  <c:v>-4.2410948477501834E-3</c:v>
                </c:pt>
                <c:pt idx="361">
                  <c:v>-5.2763561663173794E-3</c:v>
                </c:pt>
                <c:pt idx="362">
                  <c:v>-5.110889246051499E-3</c:v>
                </c:pt>
                <c:pt idx="363">
                  <c:v>-7.0773289985443175E-3</c:v>
                </c:pt>
                <c:pt idx="364">
                  <c:v>-2.6975347995930078E-3</c:v>
                </c:pt>
                <c:pt idx="365">
                  <c:v>5.9090293352672199E-4</c:v>
                </c:pt>
                <c:pt idx="366">
                  <c:v>1.8656722457682656E-3</c:v>
                </c:pt>
                <c:pt idx="367">
                  <c:v>4.0764643912276945E-3</c:v>
                </c:pt>
                <c:pt idx="368">
                  <c:v>2.6302446814908641E-3</c:v>
                </c:pt>
                <c:pt idx="369">
                  <c:v>1.7448132185435214E-3</c:v>
                </c:pt>
                <c:pt idx="370">
                  <c:v>3.5915101068973547E-3</c:v>
                </c:pt>
                <c:pt idx="371">
                  <c:v>6.2474868833635386E-3</c:v>
                </c:pt>
                <c:pt idx="372">
                  <c:v>3.0401660157602754E-3</c:v>
                </c:pt>
                <c:pt idx="373">
                  <c:v>3.0870877316125263E-3</c:v>
                </c:pt>
                <c:pt idx="374">
                  <c:v>3.6873442613689147E-3</c:v>
                </c:pt>
                <c:pt idx="375">
                  <c:v>2.9307007440640548E-3</c:v>
                </c:pt>
                <c:pt idx="376">
                  <c:v>1.4620880233235448E-3</c:v>
                </c:pt>
                <c:pt idx="377">
                  <c:v>2.2768585889101252E-3</c:v>
                </c:pt>
                <c:pt idx="378">
                  <c:v>2.5600398561976614E-3</c:v>
                </c:pt>
                <c:pt idx="379">
                  <c:v>4.7049437978422329E-4</c:v>
                </c:pt>
                <c:pt idx="380">
                  <c:v>2.287020844335047E-3</c:v>
                </c:pt>
                <c:pt idx="381">
                  <c:v>1.2445071538098769E-3</c:v>
                </c:pt>
                <c:pt idx="382">
                  <c:v>2.9788604191535728E-4</c:v>
                </c:pt>
                <c:pt idx="383">
                  <c:v>5.8339615599884223E-4</c:v>
                </c:pt>
                <c:pt idx="384">
                  <c:v>-4.1274956264249069E-3</c:v>
                </c:pt>
                <c:pt idx="385">
                  <c:v>-3.9063059499497982E-4</c:v>
                </c:pt>
                <c:pt idx="386">
                  <c:v>-9.8458730599094643E-4</c:v>
                </c:pt>
                <c:pt idx="387">
                  <c:v>3.0560889347754777E-4</c:v>
                </c:pt>
                <c:pt idx="388">
                  <c:v>7.9702903336223777E-4</c:v>
                </c:pt>
                <c:pt idx="389">
                  <c:v>2.8276403721847372E-3</c:v>
                </c:pt>
                <c:pt idx="390">
                  <c:v>1.6761161795426048E-3</c:v>
                </c:pt>
                <c:pt idx="391">
                  <c:v>2.5725602917602911E-3</c:v>
                </c:pt>
                <c:pt idx="392">
                  <c:v>2.4048965233080186E-3</c:v>
                </c:pt>
                <c:pt idx="393">
                  <c:v>3.5677187718918466E-3</c:v>
                </c:pt>
                <c:pt idx="394">
                  <c:v>3.5534596687726433E-3</c:v>
                </c:pt>
                <c:pt idx="395">
                  <c:v>4.3330606971107646E-3</c:v>
                </c:pt>
                <c:pt idx="396">
                  <c:v>1.5445949663978192E-3</c:v>
                </c:pt>
                <c:pt idx="397">
                  <c:v>-1.6894994333535585E-4</c:v>
                </c:pt>
                <c:pt idx="398">
                  <c:v>1.0552797689392795E-4</c:v>
                </c:pt>
                <c:pt idx="399">
                  <c:v>5.7476776451122202E-4</c:v>
                </c:pt>
                <c:pt idx="400">
                  <c:v>7.8824167725597555E-4</c:v>
                </c:pt>
                <c:pt idx="401">
                  <c:v>-2.6614037167956191E-3</c:v>
                </c:pt>
                <c:pt idx="402">
                  <c:v>-2.3971432483458725E-3</c:v>
                </c:pt>
                <c:pt idx="403">
                  <c:v>-1.0349637432899572E-3</c:v>
                </c:pt>
                <c:pt idx="404">
                  <c:v>-1.421715928556961E-3</c:v>
                </c:pt>
                <c:pt idx="405">
                  <c:v>1.6741416511532187E-4</c:v>
                </c:pt>
                <c:pt idx="406">
                  <c:v>5.427862332329312E-3</c:v>
                </c:pt>
                <c:pt idx="407">
                  <c:v>6.3740696912214408E-3</c:v>
                </c:pt>
                <c:pt idx="408">
                  <c:v>6.3220732117112675E-3</c:v>
                </c:pt>
                <c:pt idx="409">
                  <c:v>5.624138495382857E-3</c:v>
                </c:pt>
                <c:pt idx="410">
                  <c:v>6.5695238182360283E-3</c:v>
                </c:pt>
                <c:pt idx="411">
                  <c:v>5.6188495636956756E-3</c:v>
                </c:pt>
                <c:pt idx="412">
                  <c:v>5.2770293809166757E-3</c:v>
                </c:pt>
                <c:pt idx="413">
                  <c:v>6.4860580312346566E-3</c:v>
                </c:pt>
                <c:pt idx="414">
                  <c:v>6.5335887036805408E-3</c:v>
                </c:pt>
                <c:pt idx="415">
                  <c:v>4.4744353391419182E-3</c:v>
                </c:pt>
                <c:pt idx="416">
                  <c:v>6.4265037587811179E-3</c:v>
                </c:pt>
                <c:pt idx="417">
                  <c:v>7.1607290172357417E-3</c:v>
                </c:pt>
                <c:pt idx="418">
                  <c:v>8.0755358362073447E-3</c:v>
                </c:pt>
                <c:pt idx="419">
                  <c:v>8.115716243325112E-3</c:v>
                </c:pt>
                <c:pt idx="420">
                  <c:v>1.1124174442043722E-2</c:v>
                </c:pt>
                <c:pt idx="421">
                  <c:v>1.2576357842609867E-2</c:v>
                </c:pt>
                <c:pt idx="422">
                  <c:v>1.1679671530047436E-2</c:v>
                </c:pt>
                <c:pt idx="423">
                  <c:v>1.3570283726351776E-2</c:v>
                </c:pt>
                <c:pt idx="424">
                  <c:v>1.2800435826182267E-2</c:v>
                </c:pt>
                <c:pt idx="425">
                  <c:v>1.4056957505316624E-2</c:v>
                </c:pt>
                <c:pt idx="426">
                  <c:v>1.5829465706053703E-2</c:v>
                </c:pt>
                <c:pt idx="427">
                  <c:v>1.4387356940774036E-2</c:v>
                </c:pt>
                <c:pt idx="428">
                  <c:v>1.6295101591338259E-2</c:v>
                </c:pt>
                <c:pt idx="429">
                  <c:v>1.6211592298855042E-2</c:v>
                </c:pt>
                <c:pt idx="430">
                  <c:v>1.3007742306603075E-2</c:v>
                </c:pt>
                <c:pt idx="431">
                  <c:v>8.8767798946238867E-3</c:v>
                </c:pt>
                <c:pt idx="432">
                  <c:v>8.6570399608024845E-3</c:v>
                </c:pt>
                <c:pt idx="433">
                  <c:v>9.4820971465614835E-3</c:v>
                </c:pt>
                <c:pt idx="434">
                  <c:v>6.0273435135346845E-3</c:v>
                </c:pt>
                <c:pt idx="435">
                  <c:v>6.6777259179949464E-3</c:v>
                </c:pt>
                <c:pt idx="436">
                  <c:v>3.1523297411881791E-3</c:v>
                </c:pt>
                <c:pt idx="437">
                  <c:v>2.6066995639985983E-3</c:v>
                </c:pt>
                <c:pt idx="438">
                  <c:v>2.5518145202749129E-3</c:v>
                </c:pt>
                <c:pt idx="439">
                  <c:v>-2.3510763898733807E-3</c:v>
                </c:pt>
                <c:pt idx="440">
                  <c:v>-6.4125954759810394E-4</c:v>
                </c:pt>
                <c:pt idx="441">
                  <c:v>-4.4354300091218463E-4</c:v>
                </c:pt>
                <c:pt idx="442">
                  <c:v>4.6053093642317924E-4</c:v>
                </c:pt>
                <c:pt idx="443">
                  <c:v>1.5575764039973336E-3</c:v>
                </c:pt>
                <c:pt idx="444">
                  <c:v>-2.4817918086422024E-3</c:v>
                </c:pt>
                <c:pt idx="445">
                  <c:v>-6.5570023553925202E-3</c:v>
                </c:pt>
                <c:pt idx="446">
                  <c:v>-1.0331441557855755E-2</c:v>
                </c:pt>
                <c:pt idx="447">
                  <c:v>-1.0239440832271107E-2</c:v>
                </c:pt>
                <c:pt idx="448">
                  <c:v>-1.0010934727622045E-2</c:v>
                </c:pt>
                <c:pt idx="449">
                  <c:v>-1.0455186588157174E-2</c:v>
                </c:pt>
                <c:pt idx="450">
                  <c:v>-1.1952300788308032E-2</c:v>
                </c:pt>
                <c:pt idx="451">
                  <c:v>-1.0612656783289702E-2</c:v>
                </c:pt>
                <c:pt idx="452">
                  <c:v>-1.0875306672426251E-2</c:v>
                </c:pt>
                <c:pt idx="453">
                  <c:v>-8.8275740655460039E-3</c:v>
                </c:pt>
                <c:pt idx="454">
                  <c:v>-8.9712145527450597E-3</c:v>
                </c:pt>
                <c:pt idx="455">
                  <c:v>-8.3046221894087675E-3</c:v>
                </c:pt>
                <c:pt idx="456">
                  <c:v>-6.3855732026971198E-3</c:v>
                </c:pt>
                <c:pt idx="457">
                  <c:v>-2.8002223266187128E-3</c:v>
                </c:pt>
                <c:pt idx="458">
                  <c:v>1.3419236171504853E-4</c:v>
                </c:pt>
                <c:pt idx="459">
                  <c:v>-1.2200827489319728E-3</c:v>
                </c:pt>
                <c:pt idx="460">
                  <c:v>-1.9535799091019435E-3</c:v>
                </c:pt>
                <c:pt idx="461">
                  <c:v>-4.3147344903753469E-3</c:v>
                </c:pt>
                <c:pt idx="462">
                  <c:v>-6.5693855651384296E-3</c:v>
                </c:pt>
                <c:pt idx="463">
                  <c:v>-5.9129009716596716E-3</c:v>
                </c:pt>
                <c:pt idx="464">
                  <c:v>-3.8854861353482331E-3</c:v>
                </c:pt>
                <c:pt idx="465">
                  <c:v>-4.4846483866782978E-3</c:v>
                </c:pt>
                <c:pt idx="466">
                  <c:v>-6.2899857353395979E-3</c:v>
                </c:pt>
                <c:pt idx="467">
                  <c:v>-6.418955416078502E-3</c:v>
                </c:pt>
                <c:pt idx="468">
                  <c:v>-3.9306509780505129E-3</c:v>
                </c:pt>
                <c:pt idx="469">
                  <c:v>-3.8572142938290317E-3</c:v>
                </c:pt>
                <c:pt idx="470">
                  <c:v>1.6464264873229315E-4</c:v>
                </c:pt>
                <c:pt idx="471">
                  <c:v>5.5383323674464517E-3</c:v>
                </c:pt>
                <c:pt idx="472">
                  <c:v>3.9568629606154607E-3</c:v>
                </c:pt>
                <c:pt idx="473">
                  <c:v>3.8527830857569972E-3</c:v>
                </c:pt>
                <c:pt idx="474">
                  <c:v>6.0830784234455759E-4</c:v>
                </c:pt>
                <c:pt idx="475">
                  <c:v>6.0252179846018578E-3</c:v>
                </c:pt>
                <c:pt idx="476">
                  <c:v>1.2796844060623348E-2</c:v>
                </c:pt>
                <c:pt idx="477">
                  <c:v>1.5265465158448316E-2</c:v>
                </c:pt>
                <c:pt idx="478">
                  <c:v>1.1082434269690924E-2</c:v>
                </c:pt>
                <c:pt idx="479">
                  <c:v>1.2335670603819279E-2</c:v>
                </c:pt>
                <c:pt idx="480">
                  <c:v>8.9543343222102251E-3</c:v>
                </c:pt>
                <c:pt idx="481">
                  <c:v>1.3012263997480837E-2</c:v>
                </c:pt>
                <c:pt idx="482">
                  <c:v>8.3364347669192471E-3</c:v>
                </c:pt>
                <c:pt idx="483">
                  <c:v>7.1790665434824583E-3</c:v>
                </c:pt>
                <c:pt idx="484">
                  <c:v>9.1163824799725124E-3</c:v>
                </c:pt>
                <c:pt idx="485">
                  <c:v>1.0855780434838411E-2</c:v>
                </c:pt>
                <c:pt idx="486">
                  <c:v>1.228250472701406E-2</c:v>
                </c:pt>
                <c:pt idx="487">
                  <c:v>1.3485103133651262E-2</c:v>
                </c:pt>
                <c:pt idx="488">
                  <c:v>1.7879760398599134E-2</c:v>
                </c:pt>
                <c:pt idx="489">
                  <c:v>2.1201504186143666E-2</c:v>
                </c:pt>
                <c:pt idx="490">
                  <c:v>1.5556021515440339E-2</c:v>
                </c:pt>
                <c:pt idx="491">
                  <c:v>1.0871481076921347E-2</c:v>
                </c:pt>
                <c:pt idx="492">
                  <c:v>1.1588387178918677E-2</c:v>
                </c:pt>
                <c:pt idx="493">
                  <c:v>1.4254788091305502E-2</c:v>
                </c:pt>
                <c:pt idx="494">
                  <c:v>1.3726466266508218E-2</c:v>
                </c:pt>
                <c:pt idx="495">
                  <c:v>1.8358919625806533E-2</c:v>
                </c:pt>
                <c:pt idx="496">
                  <c:v>1.6583701733895485E-2</c:v>
                </c:pt>
                <c:pt idx="497">
                  <c:v>1.5562408387719141E-2</c:v>
                </c:pt>
                <c:pt idx="498">
                  <c:v>1.2375328834450271E-2</c:v>
                </c:pt>
                <c:pt idx="499">
                  <c:v>1.0813761522037779E-2</c:v>
                </c:pt>
                <c:pt idx="500">
                  <c:v>9.2956602473585753E-3</c:v>
                </c:pt>
                <c:pt idx="501">
                  <c:v>1.3962598990066827E-2</c:v>
                </c:pt>
                <c:pt idx="502">
                  <c:v>1.2600465160597672E-2</c:v>
                </c:pt>
                <c:pt idx="503">
                  <c:v>1.569754204513614E-2</c:v>
                </c:pt>
                <c:pt idx="504">
                  <c:v>1.42988119395243E-2</c:v>
                </c:pt>
                <c:pt idx="505">
                  <c:v>1.0837425724360132E-2</c:v>
                </c:pt>
                <c:pt idx="506">
                  <c:v>1.1306387703707087E-2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1-4CD6-9AF4-F2AF32252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982560"/>
        <c:axId val="1433425120"/>
      </c:lineChart>
      <c:dateAx>
        <c:axId val="1270033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70030624"/>
        <c:crosses val="autoZero"/>
        <c:auto val="1"/>
        <c:lblOffset val="100"/>
        <c:baseTimeUnit val="months"/>
      </c:dateAx>
      <c:valAx>
        <c:axId val="127003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70033024"/>
        <c:crosses val="autoZero"/>
        <c:crossBetween val="between"/>
      </c:valAx>
      <c:valAx>
        <c:axId val="1433425120"/>
        <c:scaling>
          <c:orientation val="maxMin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79982560"/>
        <c:crosses val="max"/>
        <c:crossBetween val="between"/>
      </c:valAx>
      <c:dateAx>
        <c:axId val="1679982560"/>
        <c:scaling>
          <c:orientation val="minMax"/>
        </c:scaling>
        <c:delete val="1"/>
        <c:axPos val="t"/>
        <c:numFmt formatCode="m/d/yyyy" sourceLinked="1"/>
        <c:majorTickMark val="out"/>
        <c:minorTickMark val="none"/>
        <c:tickLblPos val="nextTo"/>
        <c:crossAx val="143342512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'Raw Data'!$B$4</c:f>
              <c:strCache>
                <c:ptCount val="1"/>
                <c:pt idx="0">
                  <c:v>US-DS Market - 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'Raw Data'!$A$126:$A$700</c:f>
              <c:numCache>
                <c:formatCode>m/d/yyyy</c:formatCode>
                <c:ptCount val="575"/>
                <c:pt idx="0">
                  <c:v>30347</c:v>
                </c:pt>
                <c:pt idx="1">
                  <c:v>30375</c:v>
                </c:pt>
                <c:pt idx="2">
                  <c:v>30406</c:v>
                </c:pt>
                <c:pt idx="3">
                  <c:v>30435</c:v>
                </c:pt>
                <c:pt idx="4">
                  <c:v>30467</c:v>
                </c:pt>
                <c:pt idx="5">
                  <c:v>30497</c:v>
                </c:pt>
                <c:pt idx="6">
                  <c:v>30526</c:v>
                </c:pt>
                <c:pt idx="7">
                  <c:v>30559</c:v>
                </c:pt>
                <c:pt idx="8">
                  <c:v>30589</c:v>
                </c:pt>
                <c:pt idx="9">
                  <c:v>30620</c:v>
                </c:pt>
                <c:pt idx="10">
                  <c:v>30650</c:v>
                </c:pt>
                <c:pt idx="11">
                  <c:v>30680</c:v>
                </c:pt>
                <c:pt idx="12">
                  <c:v>30712</c:v>
                </c:pt>
                <c:pt idx="13">
                  <c:v>30741</c:v>
                </c:pt>
                <c:pt idx="14">
                  <c:v>30771</c:v>
                </c:pt>
                <c:pt idx="15">
                  <c:v>30802</c:v>
                </c:pt>
                <c:pt idx="16">
                  <c:v>30833</c:v>
                </c:pt>
                <c:pt idx="17">
                  <c:v>30862</c:v>
                </c:pt>
                <c:pt idx="18">
                  <c:v>30894</c:v>
                </c:pt>
                <c:pt idx="19">
                  <c:v>30925</c:v>
                </c:pt>
                <c:pt idx="20">
                  <c:v>30953</c:v>
                </c:pt>
                <c:pt idx="21">
                  <c:v>30986</c:v>
                </c:pt>
                <c:pt idx="22">
                  <c:v>31016</c:v>
                </c:pt>
                <c:pt idx="23">
                  <c:v>31047</c:v>
                </c:pt>
                <c:pt idx="24">
                  <c:v>31078</c:v>
                </c:pt>
                <c:pt idx="25">
                  <c:v>31106</c:v>
                </c:pt>
                <c:pt idx="26">
                  <c:v>31135</c:v>
                </c:pt>
                <c:pt idx="27">
                  <c:v>31167</c:v>
                </c:pt>
                <c:pt idx="28">
                  <c:v>31198</c:v>
                </c:pt>
                <c:pt idx="29">
                  <c:v>31226</c:v>
                </c:pt>
                <c:pt idx="30">
                  <c:v>31259</c:v>
                </c:pt>
                <c:pt idx="31">
                  <c:v>31289</c:v>
                </c:pt>
                <c:pt idx="32">
                  <c:v>31320</c:v>
                </c:pt>
                <c:pt idx="33">
                  <c:v>31351</c:v>
                </c:pt>
                <c:pt idx="34">
                  <c:v>31380</c:v>
                </c:pt>
                <c:pt idx="35">
                  <c:v>31412</c:v>
                </c:pt>
                <c:pt idx="36">
                  <c:v>31443</c:v>
                </c:pt>
                <c:pt idx="37">
                  <c:v>31471</c:v>
                </c:pt>
                <c:pt idx="38">
                  <c:v>31502</c:v>
                </c:pt>
                <c:pt idx="39">
                  <c:v>31532</c:v>
                </c:pt>
                <c:pt idx="40">
                  <c:v>31562</c:v>
                </c:pt>
                <c:pt idx="41">
                  <c:v>31593</c:v>
                </c:pt>
                <c:pt idx="42">
                  <c:v>31624</c:v>
                </c:pt>
                <c:pt idx="43">
                  <c:v>31653</c:v>
                </c:pt>
                <c:pt idx="44">
                  <c:v>31685</c:v>
                </c:pt>
                <c:pt idx="45">
                  <c:v>31716</c:v>
                </c:pt>
                <c:pt idx="46">
                  <c:v>31744</c:v>
                </c:pt>
                <c:pt idx="47">
                  <c:v>31777</c:v>
                </c:pt>
                <c:pt idx="48">
                  <c:v>31807</c:v>
                </c:pt>
                <c:pt idx="49">
                  <c:v>31835</c:v>
                </c:pt>
                <c:pt idx="50">
                  <c:v>31867</c:v>
                </c:pt>
                <c:pt idx="51">
                  <c:v>31897</c:v>
                </c:pt>
                <c:pt idx="52">
                  <c:v>31926</c:v>
                </c:pt>
                <c:pt idx="53">
                  <c:v>31958</c:v>
                </c:pt>
                <c:pt idx="54">
                  <c:v>31989</c:v>
                </c:pt>
                <c:pt idx="55">
                  <c:v>32020</c:v>
                </c:pt>
                <c:pt idx="56">
                  <c:v>32050</c:v>
                </c:pt>
                <c:pt idx="57">
                  <c:v>32080</c:v>
                </c:pt>
                <c:pt idx="58">
                  <c:v>32111</c:v>
                </c:pt>
                <c:pt idx="59">
                  <c:v>32142</c:v>
                </c:pt>
                <c:pt idx="60">
                  <c:v>32171</c:v>
                </c:pt>
                <c:pt idx="61">
                  <c:v>32202</c:v>
                </c:pt>
                <c:pt idx="62">
                  <c:v>32233</c:v>
                </c:pt>
                <c:pt idx="63">
                  <c:v>32262</c:v>
                </c:pt>
                <c:pt idx="64">
                  <c:v>32294</c:v>
                </c:pt>
                <c:pt idx="65">
                  <c:v>32324</c:v>
                </c:pt>
                <c:pt idx="66">
                  <c:v>32353</c:v>
                </c:pt>
                <c:pt idx="67">
                  <c:v>32386</c:v>
                </c:pt>
                <c:pt idx="68">
                  <c:v>32416</c:v>
                </c:pt>
                <c:pt idx="69">
                  <c:v>32447</c:v>
                </c:pt>
                <c:pt idx="70">
                  <c:v>32477</c:v>
                </c:pt>
                <c:pt idx="71">
                  <c:v>32507</c:v>
                </c:pt>
                <c:pt idx="72">
                  <c:v>32539</c:v>
                </c:pt>
                <c:pt idx="73">
                  <c:v>32567</c:v>
                </c:pt>
                <c:pt idx="74">
                  <c:v>32598</c:v>
                </c:pt>
                <c:pt idx="75">
                  <c:v>32626</c:v>
                </c:pt>
                <c:pt idx="76">
                  <c:v>32659</c:v>
                </c:pt>
                <c:pt idx="77">
                  <c:v>32689</c:v>
                </c:pt>
                <c:pt idx="78">
                  <c:v>32720</c:v>
                </c:pt>
                <c:pt idx="79">
                  <c:v>32751</c:v>
                </c:pt>
                <c:pt idx="80">
                  <c:v>32780</c:v>
                </c:pt>
                <c:pt idx="81">
                  <c:v>32812</c:v>
                </c:pt>
                <c:pt idx="82">
                  <c:v>32842</c:v>
                </c:pt>
                <c:pt idx="83">
                  <c:v>32871</c:v>
                </c:pt>
                <c:pt idx="84">
                  <c:v>32904</c:v>
                </c:pt>
                <c:pt idx="85">
                  <c:v>32932</c:v>
                </c:pt>
                <c:pt idx="86">
                  <c:v>32962</c:v>
                </c:pt>
                <c:pt idx="87">
                  <c:v>32993</c:v>
                </c:pt>
                <c:pt idx="88">
                  <c:v>33024</c:v>
                </c:pt>
                <c:pt idx="89">
                  <c:v>33053</c:v>
                </c:pt>
                <c:pt idx="90">
                  <c:v>33085</c:v>
                </c:pt>
                <c:pt idx="91">
                  <c:v>33116</c:v>
                </c:pt>
                <c:pt idx="92">
                  <c:v>33144</c:v>
                </c:pt>
                <c:pt idx="93">
                  <c:v>33177</c:v>
                </c:pt>
                <c:pt idx="94">
                  <c:v>33207</c:v>
                </c:pt>
                <c:pt idx="95">
                  <c:v>33238</c:v>
                </c:pt>
                <c:pt idx="96">
                  <c:v>33269</c:v>
                </c:pt>
                <c:pt idx="97">
                  <c:v>33297</c:v>
                </c:pt>
                <c:pt idx="98">
                  <c:v>33326</c:v>
                </c:pt>
                <c:pt idx="99">
                  <c:v>33358</c:v>
                </c:pt>
                <c:pt idx="100">
                  <c:v>33389</c:v>
                </c:pt>
                <c:pt idx="101">
                  <c:v>33417</c:v>
                </c:pt>
                <c:pt idx="102">
                  <c:v>33450</c:v>
                </c:pt>
                <c:pt idx="103">
                  <c:v>33480</c:v>
                </c:pt>
                <c:pt idx="104">
                  <c:v>33511</c:v>
                </c:pt>
                <c:pt idx="105">
                  <c:v>33542</c:v>
                </c:pt>
                <c:pt idx="106">
                  <c:v>33571</c:v>
                </c:pt>
                <c:pt idx="107">
                  <c:v>33603</c:v>
                </c:pt>
                <c:pt idx="108">
                  <c:v>33634</c:v>
                </c:pt>
                <c:pt idx="109">
                  <c:v>33662</c:v>
                </c:pt>
                <c:pt idx="110">
                  <c:v>33694</c:v>
                </c:pt>
                <c:pt idx="111">
                  <c:v>33724</c:v>
                </c:pt>
                <c:pt idx="112">
                  <c:v>33753</c:v>
                </c:pt>
                <c:pt idx="113">
                  <c:v>33785</c:v>
                </c:pt>
                <c:pt idx="114">
                  <c:v>33816</c:v>
                </c:pt>
                <c:pt idx="115">
                  <c:v>33847</c:v>
                </c:pt>
                <c:pt idx="116">
                  <c:v>33877</c:v>
                </c:pt>
                <c:pt idx="117">
                  <c:v>33907</c:v>
                </c:pt>
                <c:pt idx="118">
                  <c:v>33938</c:v>
                </c:pt>
                <c:pt idx="119">
                  <c:v>33969</c:v>
                </c:pt>
                <c:pt idx="120">
                  <c:v>33998</c:v>
                </c:pt>
                <c:pt idx="121">
                  <c:v>34026</c:v>
                </c:pt>
                <c:pt idx="122">
                  <c:v>34059</c:v>
                </c:pt>
                <c:pt idx="123">
                  <c:v>34089</c:v>
                </c:pt>
                <c:pt idx="124">
                  <c:v>34120</c:v>
                </c:pt>
                <c:pt idx="125">
                  <c:v>34150</c:v>
                </c:pt>
                <c:pt idx="126">
                  <c:v>34180</c:v>
                </c:pt>
                <c:pt idx="127">
                  <c:v>34212</c:v>
                </c:pt>
                <c:pt idx="128">
                  <c:v>34242</c:v>
                </c:pt>
                <c:pt idx="129">
                  <c:v>34271</c:v>
                </c:pt>
                <c:pt idx="130">
                  <c:v>34303</c:v>
                </c:pt>
                <c:pt idx="131">
                  <c:v>34334</c:v>
                </c:pt>
                <c:pt idx="132">
                  <c:v>34365</c:v>
                </c:pt>
                <c:pt idx="133">
                  <c:v>34393</c:v>
                </c:pt>
                <c:pt idx="134">
                  <c:v>34424</c:v>
                </c:pt>
                <c:pt idx="135">
                  <c:v>34453</c:v>
                </c:pt>
                <c:pt idx="136">
                  <c:v>34485</c:v>
                </c:pt>
                <c:pt idx="137">
                  <c:v>34515</c:v>
                </c:pt>
                <c:pt idx="138">
                  <c:v>34544</c:v>
                </c:pt>
                <c:pt idx="139">
                  <c:v>34577</c:v>
                </c:pt>
                <c:pt idx="140">
                  <c:v>34607</c:v>
                </c:pt>
                <c:pt idx="141">
                  <c:v>34638</c:v>
                </c:pt>
                <c:pt idx="142">
                  <c:v>34668</c:v>
                </c:pt>
                <c:pt idx="143">
                  <c:v>34698</c:v>
                </c:pt>
                <c:pt idx="144">
                  <c:v>34730</c:v>
                </c:pt>
                <c:pt idx="145">
                  <c:v>34758</c:v>
                </c:pt>
                <c:pt idx="146">
                  <c:v>34789</c:v>
                </c:pt>
                <c:pt idx="147">
                  <c:v>34817</c:v>
                </c:pt>
                <c:pt idx="148">
                  <c:v>34850</c:v>
                </c:pt>
                <c:pt idx="149">
                  <c:v>34880</c:v>
                </c:pt>
                <c:pt idx="150">
                  <c:v>34911</c:v>
                </c:pt>
                <c:pt idx="151">
                  <c:v>34942</c:v>
                </c:pt>
                <c:pt idx="152">
                  <c:v>34971</c:v>
                </c:pt>
                <c:pt idx="153">
                  <c:v>35003</c:v>
                </c:pt>
                <c:pt idx="154">
                  <c:v>35033</c:v>
                </c:pt>
                <c:pt idx="155">
                  <c:v>35062</c:v>
                </c:pt>
                <c:pt idx="156">
                  <c:v>35095</c:v>
                </c:pt>
                <c:pt idx="157">
                  <c:v>35124</c:v>
                </c:pt>
                <c:pt idx="158">
                  <c:v>35153</c:v>
                </c:pt>
                <c:pt idx="159">
                  <c:v>35185</c:v>
                </c:pt>
                <c:pt idx="160">
                  <c:v>35216</c:v>
                </c:pt>
                <c:pt idx="161">
                  <c:v>35244</c:v>
                </c:pt>
                <c:pt idx="162">
                  <c:v>35277</c:v>
                </c:pt>
                <c:pt idx="163">
                  <c:v>35307</c:v>
                </c:pt>
                <c:pt idx="164">
                  <c:v>35338</c:v>
                </c:pt>
                <c:pt idx="165">
                  <c:v>35369</c:v>
                </c:pt>
                <c:pt idx="166">
                  <c:v>35398</c:v>
                </c:pt>
                <c:pt idx="167">
                  <c:v>35430</c:v>
                </c:pt>
                <c:pt idx="168">
                  <c:v>35461</c:v>
                </c:pt>
                <c:pt idx="169">
                  <c:v>35489</c:v>
                </c:pt>
                <c:pt idx="170">
                  <c:v>35520</c:v>
                </c:pt>
                <c:pt idx="171">
                  <c:v>35550</c:v>
                </c:pt>
                <c:pt idx="172">
                  <c:v>35580</c:v>
                </c:pt>
                <c:pt idx="173">
                  <c:v>35611</c:v>
                </c:pt>
                <c:pt idx="174">
                  <c:v>35642</c:v>
                </c:pt>
                <c:pt idx="175">
                  <c:v>35671</c:v>
                </c:pt>
                <c:pt idx="176">
                  <c:v>35703</c:v>
                </c:pt>
                <c:pt idx="177">
                  <c:v>35734</c:v>
                </c:pt>
                <c:pt idx="178">
                  <c:v>35762</c:v>
                </c:pt>
                <c:pt idx="179">
                  <c:v>35795</c:v>
                </c:pt>
                <c:pt idx="180">
                  <c:v>35825</c:v>
                </c:pt>
                <c:pt idx="181">
                  <c:v>35853</c:v>
                </c:pt>
                <c:pt idx="182">
                  <c:v>35885</c:v>
                </c:pt>
                <c:pt idx="183">
                  <c:v>35915</c:v>
                </c:pt>
                <c:pt idx="184">
                  <c:v>35944</c:v>
                </c:pt>
                <c:pt idx="185">
                  <c:v>35976</c:v>
                </c:pt>
                <c:pt idx="186">
                  <c:v>36007</c:v>
                </c:pt>
                <c:pt idx="187">
                  <c:v>36038</c:v>
                </c:pt>
                <c:pt idx="188">
                  <c:v>36068</c:v>
                </c:pt>
                <c:pt idx="189">
                  <c:v>36098</c:v>
                </c:pt>
                <c:pt idx="190">
                  <c:v>36129</c:v>
                </c:pt>
                <c:pt idx="191">
                  <c:v>36160</c:v>
                </c:pt>
                <c:pt idx="192">
                  <c:v>36189</c:v>
                </c:pt>
                <c:pt idx="193">
                  <c:v>36217</c:v>
                </c:pt>
                <c:pt idx="194">
                  <c:v>36250</c:v>
                </c:pt>
                <c:pt idx="195">
                  <c:v>36280</c:v>
                </c:pt>
                <c:pt idx="196">
                  <c:v>36311</c:v>
                </c:pt>
                <c:pt idx="197">
                  <c:v>36341</c:v>
                </c:pt>
                <c:pt idx="198">
                  <c:v>36371</c:v>
                </c:pt>
                <c:pt idx="199">
                  <c:v>36403</c:v>
                </c:pt>
                <c:pt idx="200">
                  <c:v>36433</c:v>
                </c:pt>
                <c:pt idx="201">
                  <c:v>36462</c:v>
                </c:pt>
                <c:pt idx="202">
                  <c:v>36494</c:v>
                </c:pt>
                <c:pt idx="203">
                  <c:v>36525</c:v>
                </c:pt>
                <c:pt idx="204">
                  <c:v>36556</c:v>
                </c:pt>
                <c:pt idx="205">
                  <c:v>36585</c:v>
                </c:pt>
                <c:pt idx="206">
                  <c:v>36616</c:v>
                </c:pt>
                <c:pt idx="207">
                  <c:v>36644</c:v>
                </c:pt>
                <c:pt idx="208">
                  <c:v>36677</c:v>
                </c:pt>
                <c:pt idx="209">
                  <c:v>36707</c:v>
                </c:pt>
                <c:pt idx="210">
                  <c:v>36738</c:v>
                </c:pt>
                <c:pt idx="211">
                  <c:v>36769</c:v>
                </c:pt>
                <c:pt idx="212">
                  <c:v>36798</c:v>
                </c:pt>
                <c:pt idx="213">
                  <c:v>36830</c:v>
                </c:pt>
                <c:pt idx="214">
                  <c:v>36860</c:v>
                </c:pt>
                <c:pt idx="215">
                  <c:v>36889</c:v>
                </c:pt>
                <c:pt idx="216">
                  <c:v>36922</c:v>
                </c:pt>
                <c:pt idx="217">
                  <c:v>36950</c:v>
                </c:pt>
                <c:pt idx="218">
                  <c:v>36980</c:v>
                </c:pt>
                <c:pt idx="219">
                  <c:v>37011</c:v>
                </c:pt>
                <c:pt idx="220">
                  <c:v>37042</c:v>
                </c:pt>
                <c:pt idx="221">
                  <c:v>37071</c:v>
                </c:pt>
                <c:pt idx="222">
                  <c:v>37103</c:v>
                </c:pt>
                <c:pt idx="223">
                  <c:v>37134</c:v>
                </c:pt>
                <c:pt idx="224">
                  <c:v>37162</c:v>
                </c:pt>
                <c:pt idx="225">
                  <c:v>37195</c:v>
                </c:pt>
                <c:pt idx="226">
                  <c:v>37225</c:v>
                </c:pt>
                <c:pt idx="227">
                  <c:v>37256</c:v>
                </c:pt>
                <c:pt idx="228">
                  <c:v>37287</c:v>
                </c:pt>
                <c:pt idx="229">
                  <c:v>37315</c:v>
                </c:pt>
                <c:pt idx="230">
                  <c:v>37344</c:v>
                </c:pt>
                <c:pt idx="231">
                  <c:v>37376</c:v>
                </c:pt>
                <c:pt idx="232">
                  <c:v>37407</c:v>
                </c:pt>
                <c:pt idx="233">
                  <c:v>37435</c:v>
                </c:pt>
                <c:pt idx="234">
                  <c:v>37468</c:v>
                </c:pt>
                <c:pt idx="235">
                  <c:v>37498</c:v>
                </c:pt>
                <c:pt idx="236">
                  <c:v>37529</c:v>
                </c:pt>
                <c:pt idx="237">
                  <c:v>37560</c:v>
                </c:pt>
                <c:pt idx="238">
                  <c:v>37589</c:v>
                </c:pt>
                <c:pt idx="239">
                  <c:v>37621</c:v>
                </c:pt>
                <c:pt idx="240">
                  <c:v>37652</c:v>
                </c:pt>
                <c:pt idx="241">
                  <c:v>37680</c:v>
                </c:pt>
                <c:pt idx="242">
                  <c:v>37711</c:v>
                </c:pt>
                <c:pt idx="243">
                  <c:v>37741</c:v>
                </c:pt>
                <c:pt idx="244">
                  <c:v>37771</c:v>
                </c:pt>
                <c:pt idx="245">
                  <c:v>37802</c:v>
                </c:pt>
                <c:pt idx="246">
                  <c:v>37833</c:v>
                </c:pt>
                <c:pt idx="247">
                  <c:v>37862</c:v>
                </c:pt>
                <c:pt idx="248">
                  <c:v>37894</c:v>
                </c:pt>
                <c:pt idx="249">
                  <c:v>37925</c:v>
                </c:pt>
                <c:pt idx="250">
                  <c:v>37953</c:v>
                </c:pt>
                <c:pt idx="251">
                  <c:v>37986</c:v>
                </c:pt>
                <c:pt idx="252">
                  <c:v>38016</c:v>
                </c:pt>
                <c:pt idx="253">
                  <c:v>38044</c:v>
                </c:pt>
                <c:pt idx="254">
                  <c:v>38077</c:v>
                </c:pt>
                <c:pt idx="255">
                  <c:v>38107</c:v>
                </c:pt>
                <c:pt idx="256">
                  <c:v>38138</c:v>
                </c:pt>
                <c:pt idx="257">
                  <c:v>38168</c:v>
                </c:pt>
                <c:pt idx="258">
                  <c:v>38198</c:v>
                </c:pt>
                <c:pt idx="259">
                  <c:v>38230</c:v>
                </c:pt>
                <c:pt idx="260">
                  <c:v>38260</c:v>
                </c:pt>
                <c:pt idx="261">
                  <c:v>38289</c:v>
                </c:pt>
                <c:pt idx="262">
                  <c:v>38321</c:v>
                </c:pt>
                <c:pt idx="263">
                  <c:v>38352</c:v>
                </c:pt>
                <c:pt idx="264">
                  <c:v>38383</c:v>
                </c:pt>
                <c:pt idx="265">
                  <c:v>38411</c:v>
                </c:pt>
                <c:pt idx="266">
                  <c:v>38442</c:v>
                </c:pt>
                <c:pt idx="267">
                  <c:v>38471</c:v>
                </c:pt>
                <c:pt idx="268">
                  <c:v>38503</c:v>
                </c:pt>
                <c:pt idx="269">
                  <c:v>38533</c:v>
                </c:pt>
                <c:pt idx="270">
                  <c:v>38562</c:v>
                </c:pt>
                <c:pt idx="271">
                  <c:v>38595</c:v>
                </c:pt>
                <c:pt idx="272">
                  <c:v>38625</c:v>
                </c:pt>
                <c:pt idx="273">
                  <c:v>38656</c:v>
                </c:pt>
                <c:pt idx="274">
                  <c:v>38686</c:v>
                </c:pt>
                <c:pt idx="275">
                  <c:v>38716</c:v>
                </c:pt>
                <c:pt idx="276">
                  <c:v>38748</c:v>
                </c:pt>
                <c:pt idx="277">
                  <c:v>38776</c:v>
                </c:pt>
                <c:pt idx="278">
                  <c:v>38807</c:v>
                </c:pt>
                <c:pt idx="279">
                  <c:v>38835</c:v>
                </c:pt>
                <c:pt idx="280">
                  <c:v>38868</c:v>
                </c:pt>
                <c:pt idx="281">
                  <c:v>38898</c:v>
                </c:pt>
                <c:pt idx="282">
                  <c:v>38929</c:v>
                </c:pt>
                <c:pt idx="283">
                  <c:v>38960</c:v>
                </c:pt>
                <c:pt idx="284">
                  <c:v>38989</c:v>
                </c:pt>
                <c:pt idx="285">
                  <c:v>39021</c:v>
                </c:pt>
                <c:pt idx="286">
                  <c:v>39051</c:v>
                </c:pt>
                <c:pt idx="287">
                  <c:v>39080</c:v>
                </c:pt>
                <c:pt idx="288">
                  <c:v>39113</c:v>
                </c:pt>
                <c:pt idx="289">
                  <c:v>39141</c:v>
                </c:pt>
                <c:pt idx="290">
                  <c:v>39171</c:v>
                </c:pt>
                <c:pt idx="291">
                  <c:v>39202</c:v>
                </c:pt>
                <c:pt idx="292">
                  <c:v>39233</c:v>
                </c:pt>
                <c:pt idx="293">
                  <c:v>39262</c:v>
                </c:pt>
                <c:pt idx="294">
                  <c:v>39294</c:v>
                </c:pt>
                <c:pt idx="295">
                  <c:v>39325</c:v>
                </c:pt>
                <c:pt idx="296">
                  <c:v>39353</c:v>
                </c:pt>
                <c:pt idx="297">
                  <c:v>39386</c:v>
                </c:pt>
                <c:pt idx="298">
                  <c:v>39416</c:v>
                </c:pt>
                <c:pt idx="299">
                  <c:v>39447</c:v>
                </c:pt>
                <c:pt idx="300">
                  <c:v>39478</c:v>
                </c:pt>
                <c:pt idx="301">
                  <c:v>39507</c:v>
                </c:pt>
                <c:pt idx="302">
                  <c:v>39538</c:v>
                </c:pt>
                <c:pt idx="303">
                  <c:v>39568</c:v>
                </c:pt>
                <c:pt idx="304">
                  <c:v>39598</c:v>
                </c:pt>
                <c:pt idx="305">
                  <c:v>39629</c:v>
                </c:pt>
                <c:pt idx="306">
                  <c:v>39660</c:v>
                </c:pt>
                <c:pt idx="307">
                  <c:v>39689</c:v>
                </c:pt>
                <c:pt idx="308">
                  <c:v>39721</c:v>
                </c:pt>
                <c:pt idx="309">
                  <c:v>39752</c:v>
                </c:pt>
                <c:pt idx="310">
                  <c:v>39780</c:v>
                </c:pt>
                <c:pt idx="311">
                  <c:v>39813</c:v>
                </c:pt>
                <c:pt idx="312">
                  <c:v>39843</c:v>
                </c:pt>
                <c:pt idx="313">
                  <c:v>39871</c:v>
                </c:pt>
                <c:pt idx="314">
                  <c:v>39903</c:v>
                </c:pt>
                <c:pt idx="315">
                  <c:v>39933</c:v>
                </c:pt>
                <c:pt idx="316">
                  <c:v>39962</c:v>
                </c:pt>
                <c:pt idx="317">
                  <c:v>39994</c:v>
                </c:pt>
                <c:pt idx="318">
                  <c:v>40025</c:v>
                </c:pt>
                <c:pt idx="319">
                  <c:v>40056</c:v>
                </c:pt>
                <c:pt idx="320">
                  <c:v>40086</c:v>
                </c:pt>
                <c:pt idx="321">
                  <c:v>40116</c:v>
                </c:pt>
                <c:pt idx="322">
                  <c:v>40147</c:v>
                </c:pt>
                <c:pt idx="323">
                  <c:v>40178</c:v>
                </c:pt>
                <c:pt idx="324">
                  <c:v>40207</c:v>
                </c:pt>
                <c:pt idx="325">
                  <c:v>40235</c:v>
                </c:pt>
                <c:pt idx="326">
                  <c:v>40268</c:v>
                </c:pt>
                <c:pt idx="327">
                  <c:v>40298</c:v>
                </c:pt>
                <c:pt idx="328">
                  <c:v>40329</c:v>
                </c:pt>
                <c:pt idx="329">
                  <c:v>40359</c:v>
                </c:pt>
                <c:pt idx="330">
                  <c:v>40389</c:v>
                </c:pt>
                <c:pt idx="331">
                  <c:v>40421</c:v>
                </c:pt>
                <c:pt idx="332">
                  <c:v>40451</c:v>
                </c:pt>
                <c:pt idx="333">
                  <c:v>40480</c:v>
                </c:pt>
                <c:pt idx="334">
                  <c:v>40512</c:v>
                </c:pt>
                <c:pt idx="335">
                  <c:v>40543</c:v>
                </c:pt>
                <c:pt idx="336">
                  <c:v>40574</c:v>
                </c:pt>
                <c:pt idx="337">
                  <c:v>40602</c:v>
                </c:pt>
                <c:pt idx="338">
                  <c:v>40633</c:v>
                </c:pt>
                <c:pt idx="339">
                  <c:v>40662</c:v>
                </c:pt>
                <c:pt idx="340">
                  <c:v>40694</c:v>
                </c:pt>
                <c:pt idx="341">
                  <c:v>40724</c:v>
                </c:pt>
                <c:pt idx="342">
                  <c:v>40753</c:v>
                </c:pt>
                <c:pt idx="343">
                  <c:v>40786</c:v>
                </c:pt>
                <c:pt idx="344">
                  <c:v>40816</c:v>
                </c:pt>
                <c:pt idx="345">
                  <c:v>40847</c:v>
                </c:pt>
                <c:pt idx="346">
                  <c:v>40877</c:v>
                </c:pt>
                <c:pt idx="347">
                  <c:v>40907</c:v>
                </c:pt>
                <c:pt idx="348">
                  <c:v>40939</c:v>
                </c:pt>
                <c:pt idx="349">
                  <c:v>40968</c:v>
                </c:pt>
                <c:pt idx="350">
                  <c:v>40998</c:v>
                </c:pt>
                <c:pt idx="351">
                  <c:v>41029</c:v>
                </c:pt>
                <c:pt idx="352">
                  <c:v>41060</c:v>
                </c:pt>
                <c:pt idx="353">
                  <c:v>41089</c:v>
                </c:pt>
                <c:pt idx="354">
                  <c:v>41121</c:v>
                </c:pt>
                <c:pt idx="355">
                  <c:v>41152</c:v>
                </c:pt>
                <c:pt idx="356">
                  <c:v>41180</c:v>
                </c:pt>
                <c:pt idx="357">
                  <c:v>41213</c:v>
                </c:pt>
                <c:pt idx="358">
                  <c:v>41243</c:v>
                </c:pt>
                <c:pt idx="359">
                  <c:v>41274</c:v>
                </c:pt>
                <c:pt idx="360">
                  <c:v>41305</c:v>
                </c:pt>
                <c:pt idx="361">
                  <c:v>41333</c:v>
                </c:pt>
                <c:pt idx="362">
                  <c:v>41362</c:v>
                </c:pt>
                <c:pt idx="363">
                  <c:v>41394</c:v>
                </c:pt>
                <c:pt idx="364">
                  <c:v>41425</c:v>
                </c:pt>
                <c:pt idx="365">
                  <c:v>41453</c:v>
                </c:pt>
                <c:pt idx="366">
                  <c:v>41486</c:v>
                </c:pt>
                <c:pt idx="367">
                  <c:v>41516</c:v>
                </c:pt>
                <c:pt idx="368">
                  <c:v>41547</c:v>
                </c:pt>
                <c:pt idx="369">
                  <c:v>41578</c:v>
                </c:pt>
                <c:pt idx="370">
                  <c:v>41607</c:v>
                </c:pt>
                <c:pt idx="371">
                  <c:v>41639</c:v>
                </c:pt>
                <c:pt idx="372">
                  <c:v>41670</c:v>
                </c:pt>
                <c:pt idx="373">
                  <c:v>41698</c:v>
                </c:pt>
                <c:pt idx="374">
                  <c:v>41729</c:v>
                </c:pt>
                <c:pt idx="375">
                  <c:v>41759</c:v>
                </c:pt>
                <c:pt idx="376">
                  <c:v>41789</c:v>
                </c:pt>
                <c:pt idx="377">
                  <c:v>41820</c:v>
                </c:pt>
                <c:pt idx="378">
                  <c:v>41851</c:v>
                </c:pt>
                <c:pt idx="379">
                  <c:v>41880</c:v>
                </c:pt>
                <c:pt idx="380">
                  <c:v>41912</c:v>
                </c:pt>
                <c:pt idx="381">
                  <c:v>41943</c:v>
                </c:pt>
                <c:pt idx="382">
                  <c:v>41971</c:v>
                </c:pt>
                <c:pt idx="383">
                  <c:v>42004</c:v>
                </c:pt>
                <c:pt idx="384">
                  <c:v>42034</c:v>
                </c:pt>
                <c:pt idx="385">
                  <c:v>42062</c:v>
                </c:pt>
                <c:pt idx="386">
                  <c:v>42094</c:v>
                </c:pt>
                <c:pt idx="387">
                  <c:v>42124</c:v>
                </c:pt>
                <c:pt idx="388">
                  <c:v>42153</c:v>
                </c:pt>
                <c:pt idx="389">
                  <c:v>42185</c:v>
                </c:pt>
                <c:pt idx="390">
                  <c:v>42216</c:v>
                </c:pt>
                <c:pt idx="391">
                  <c:v>42247</c:v>
                </c:pt>
                <c:pt idx="392">
                  <c:v>42277</c:v>
                </c:pt>
                <c:pt idx="393">
                  <c:v>42307</c:v>
                </c:pt>
                <c:pt idx="394">
                  <c:v>42338</c:v>
                </c:pt>
                <c:pt idx="395">
                  <c:v>42369</c:v>
                </c:pt>
                <c:pt idx="396">
                  <c:v>42398</c:v>
                </c:pt>
                <c:pt idx="397">
                  <c:v>42429</c:v>
                </c:pt>
                <c:pt idx="398">
                  <c:v>42460</c:v>
                </c:pt>
                <c:pt idx="399">
                  <c:v>42489</c:v>
                </c:pt>
                <c:pt idx="400">
                  <c:v>42521</c:v>
                </c:pt>
                <c:pt idx="401">
                  <c:v>42551</c:v>
                </c:pt>
                <c:pt idx="402">
                  <c:v>42580</c:v>
                </c:pt>
                <c:pt idx="403">
                  <c:v>42613</c:v>
                </c:pt>
                <c:pt idx="404">
                  <c:v>42643</c:v>
                </c:pt>
                <c:pt idx="405">
                  <c:v>42674</c:v>
                </c:pt>
                <c:pt idx="406">
                  <c:v>42704</c:v>
                </c:pt>
                <c:pt idx="407">
                  <c:v>42734</c:v>
                </c:pt>
                <c:pt idx="408">
                  <c:v>42766</c:v>
                </c:pt>
                <c:pt idx="409">
                  <c:v>42794</c:v>
                </c:pt>
                <c:pt idx="410">
                  <c:v>42825</c:v>
                </c:pt>
                <c:pt idx="411">
                  <c:v>42853</c:v>
                </c:pt>
                <c:pt idx="412">
                  <c:v>42886</c:v>
                </c:pt>
                <c:pt idx="413">
                  <c:v>42916</c:v>
                </c:pt>
                <c:pt idx="414">
                  <c:v>42947</c:v>
                </c:pt>
                <c:pt idx="415">
                  <c:v>42978</c:v>
                </c:pt>
                <c:pt idx="416">
                  <c:v>43007</c:v>
                </c:pt>
                <c:pt idx="417">
                  <c:v>43039</c:v>
                </c:pt>
                <c:pt idx="418">
                  <c:v>43069</c:v>
                </c:pt>
                <c:pt idx="419">
                  <c:v>43098</c:v>
                </c:pt>
                <c:pt idx="420">
                  <c:v>43131</c:v>
                </c:pt>
                <c:pt idx="421">
                  <c:v>43159</c:v>
                </c:pt>
                <c:pt idx="422">
                  <c:v>43189</c:v>
                </c:pt>
                <c:pt idx="423">
                  <c:v>43220</c:v>
                </c:pt>
                <c:pt idx="424">
                  <c:v>43251</c:v>
                </c:pt>
                <c:pt idx="425">
                  <c:v>43280</c:v>
                </c:pt>
                <c:pt idx="426">
                  <c:v>43312</c:v>
                </c:pt>
                <c:pt idx="427">
                  <c:v>43343</c:v>
                </c:pt>
                <c:pt idx="428">
                  <c:v>43371</c:v>
                </c:pt>
                <c:pt idx="429">
                  <c:v>43404</c:v>
                </c:pt>
                <c:pt idx="430">
                  <c:v>43434</c:v>
                </c:pt>
                <c:pt idx="431">
                  <c:v>43465</c:v>
                </c:pt>
                <c:pt idx="432">
                  <c:v>43496</c:v>
                </c:pt>
                <c:pt idx="433">
                  <c:v>43524</c:v>
                </c:pt>
                <c:pt idx="434">
                  <c:v>43553</c:v>
                </c:pt>
                <c:pt idx="435">
                  <c:v>43585</c:v>
                </c:pt>
                <c:pt idx="436">
                  <c:v>43616</c:v>
                </c:pt>
                <c:pt idx="437">
                  <c:v>43644</c:v>
                </c:pt>
                <c:pt idx="438">
                  <c:v>43677</c:v>
                </c:pt>
                <c:pt idx="439">
                  <c:v>43707</c:v>
                </c:pt>
                <c:pt idx="440">
                  <c:v>43738</c:v>
                </c:pt>
                <c:pt idx="441">
                  <c:v>43769</c:v>
                </c:pt>
                <c:pt idx="442">
                  <c:v>43798</c:v>
                </c:pt>
                <c:pt idx="443">
                  <c:v>43830</c:v>
                </c:pt>
                <c:pt idx="444">
                  <c:v>43861</c:v>
                </c:pt>
                <c:pt idx="445">
                  <c:v>43889</c:v>
                </c:pt>
                <c:pt idx="446">
                  <c:v>43921</c:v>
                </c:pt>
                <c:pt idx="447">
                  <c:v>43951</c:v>
                </c:pt>
                <c:pt idx="448">
                  <c:v>43980</c:v>
                </c:pt>
                <c:pt idx="449">
                  <c:v>44012</c:v>
                </c:pt>
                <c:pt idx="450">
                  <c:v>44043</c:v>
                </c:pt>
                <c:pt idx="451">
                  <c:v>44074</c:v>
                </c:pt>
                <c:pt idx="452">
                  <c:v>44104</c:v>
                </c:pt>
                <c:pt idx="453">
                  <c:v>44134</c:v>
                </c:pt>
                <c:pt idx="454">
                  <c:v>44165</c:v>
                </c:pt>
                <c:pt idx="455">
                  <c:v>44196</c:v>
                </c:pt>
                <c:pt idx="456">
                  <c:v>44225</c:v>
                </c:pt>
                <c:pt idx="457">
                  <c:v>44253</c:v>
                </c:pt>
                <c:pt idx="458">
                  <c:v>44286</c:v>
                </c:pt>
                <c:pt idx="459">
                  <c:v>44316</c:v>
                </c:pt>
                <c:pt idx="460">
                  <c:v>44347</c:v>
                </c:pt>
                <c:pt idx="461">
                  <c:v>44377</c:v>
                </c:pt>
                <c:pt idx="462">
                  <c:v>44407</c:v>
                </c:pt>
                <c:pt idx="463">
                  <c:v>44439</c:v>
                </c:pt>
                <c:pt idx="464">
                  <c:v>44469</c:v>
                </c:pt>
                <c:pt idx="465">
                  <c:v>44498</c:v>
                </c:pt>
                <c:pt idx="466">
                  <c:v>44530</c:v>
                </c:pt>
                <c:pt idx="467">
                  <c:v>44561</c:v>
                </c:pt>
                <c:pt idx="468">
                  <c:v>44592</c:v>
                </c:pt>
                <c:pt idx="469">
                  <c:v>44620</c:v>
                </c:pt>
                <c:pt idx="470">
                  <c:v>44651</c:v>
                </c:pt>
                <c:pt idx="471">
                  <c:v>44680</c:v>
                </c:pt>
                <c:pt idx="472">
                  <c:v>44712</c:v>
                </c:pt>
                <c:pt idx="473">
                  <c:v>44742</c:v>
                </c:pt>
                <c:pt idx="474">
                  <c:v>44771</c:v>
                </c:pt>
                <c:pt idx="475">
                  <c:v>44804</c:v>
                </c:pt>
                <c:pt idx="476">
                  <c:v>44834</c:v>
                </c:pt>
                <c:pt idx="477">
                  <c:v>44865</c:v>
                </c:pt>
                <c:pt idx="478">
                  <c:v>44895</c:v>
                </c:pt>
                <c:pt idx="479">
                  <c:v>44925</c:v>
                </c:pt>
                <c:pt idx="480">
                  <c:v>44957</c:v>
                </c:pt>
                <c:pt idx="481">
                  <c:v>44985</c:v>
                </c:pt>
                <c:pt idx="482">
                  <c:v>45016</c:v>
                </c:pt>
                <c:pt idx="483">
                  <c:v>45044</c:v>
                </c:pt>
                <c:pt idx="484">
                  <c:v>45077</c:v>
                </c:pt>
                <c:pt idx="485">
                  <c:v>45107</c:v>
                </c:pt>
                <c:pt idx="486">
                  <c:v>45138</c:v>
                </c:pt>
                <c:pt idx="487">
                  <c:v>45169</c:v>
                </c:pt>
                <c:pt idx="488">
                  <c:v>45198</c:v>
                </c:pt>
                <c:pt idx="489">
                  <c:v>45230</c:v>
                </c:pt>
                <c:pt idx="490">
                  <c:v>45260</c:v>
                </c:pt>
                <c:pt idx="491">
                  <c:v>45289</c:v>
                </c:pt>
                <c:pt idx="492">
                  <c:v>45322</c:v>
                </c:pt>
                <c:pt idx="493">
                  <c:v>45351</c:v>
                </c:pt>
                <c:pt idx="494">
                  <c:v>45380</c:v>
                </c:pt>
                <c:pt idx="495">
                  <c:v>45412</c:v>
                </c:pt>
                <c:pt idx="496">
                  <c:v>45443</c:v>
                </c:pt>
                <c:pt idx="497">
                  <c:v>45471</c:v>
                </c:pt>
                <c:pt idx="498">
                  <c:v>45504</c:v>
                </c:pt>
                <c:pt idx="499">
                  <c:v>45534</c:v>
                </c:pt>
                <c:pt idx="500">
                  <c:v>45565</c:v>
                </c:pt>
                <c:pt idx="501">
                  <c:v>45596</c:v>
                </c:pt>
                <c:pt idx="502">
                  <c:v>45625</c:v>
                </c:pt>
                <c:pt idx="503">
                  <c:v>45657</c:v>
                </c:pt>
                <c:pt idx="504">
                  <c:v>45688</c:v>
                </c:pt>
                <c:pt idx="505">
                  <c:v>45716</c:v>
                </c:pt>
                <c:pt idx="506">
                  <c:v>45747</c:v>
                </c:pt>
              </c:numCache>
            </c:numRef>
          </c:cat>
          <c:val>
            <c:numRef>
              <c:f>'Raw Data'!$B$126:$B$700</c:f>
              <c:numCache>
                <c:formatCode>0.0</c:formatCode>
                <c:ptCount val="575"/>
                <c:pt idx="0">
                  <c:v>10.6</c:v>
                </c:pt>
                <c:pt idx="1">
                  <c:v>10.8</c:v>
                </c:pt>
                <c:pt idx="2">
                  <c:v>11.1</c:v>
                </c:pt>
                <c:pt idx="3">
                  <c:v>11.9</c:v>
                </c:pt>
                <c:pt idx="4">
                  <c:v>11.6</c:v>
                </c:pt>
                <c:pt idx="5">
                  <c:v>11.7</c:v>
                </c:pt>
                <c:pt idx="6">
                  <c:v>11.3</c:v>
                </c:pt>
                <c:pt idx="7">
                  <c:v>11.4</c:v>
                </c:pt>
                <c:pt idx="8">
                  <c:v>11.3</c:v>
                </c:pt>
                <c:pt idx="9">
                  <c:v>11.1</c:v>
                </c:pt>
                <c:pt idx="10">
                  <c:v>11.2</c:v>
                </c:pt>
                <c:pt idx="11">
                  <c:v>11.1</c:v>
                </c:pt>
                <c:pt idx="12">
                  <c:v>10.5</c:v>
                </c:pt>
                <c:pt idx="13">
                  <c:v>10</c:v>
                </c:pt>
                <c:pt idx="14">
                  <c:v>10.1</c:v>
                </c:pt>
                <c:pt idx="15">
                  <c:v>9.6</c:v>
                </c:pt>
                <c:pt idx="16">
                  <c:v>8.9</c:v>
                </c:pt>
                <c:pt idx="17">
                  <c:v>9.1</c:v>
                </c:pt>
                <c:pt idx="18">
                  <c:v>8.6999999999999993</c:v>
                </c:pt>
                <c:pt idx="19">
                  <c:v>9.6</c:v>
                </c:pt>
                <c:pt idx="20">
                  <c:v>9.6</c:v>
                </c:pt>
                <c:pt idx="21">
                  <c:v>9.5</c:v>
                </c:pt>
                <c:pt idx="22">
                  <c:v>9.4</c:v>
                </c:pt>
                <c:pt idx="23">
                  <c:v>9.6</c:v>
                </c:pt>
                <c:pt idx="24">
                  <c:v>10.3</c:v>
                </c:pt>
                <c:pt idx="25">
                  <c:v>10.5</c:v>
                </c:pt>
                <c:pt idx="26">
                  <c:v>10.5</c:v>
                </c:pt>
                <c:pt idx="27">
                  <c:v>10.6</c:v>
                </c:pt>
                <c:pt idx="28">
                  <c:v>11.3</c:v>
                </c:pt>
                <c:pt idx="29">
                  <c:v>11.4</c:v>
                </c:pt>
                <c:pt idx="30">
                  <c:v>11.4</c:v>
                </c:pt>
                <c:pt idx="31">
                  <c:v>11.3</c:v>
                </c:pt>
                <c:pt idx="32">
                  <c:v>11.1</c:v>
                </c:pt>
                <c:pt idx="33">
                  <c:v>11.6</c:v>
                </c:pt>
                <c:pt idx="34">
                  <c:v>12.4</c:v>
                </c:pt>
                <c:pt idx="35">
                  <c:v>13</c:v>
                </c:pt>
                <c:pt idx="36">
                  <c:v>13.1</c:v>
                </c:pt>
                <c:pt idx="37">
                  <c:v>14</c:v>
                </c:pt>
                <c:pt idx="38">
                  <c:v>14.5</c:v>
                </c:pt>
                <c:pt idx="39">
                  <c:v>14.4</c:v>
                </c:pt>
                <c:pt idx="40">
                  <c:v>15.1</c:v>
                </c:pt>
                <c:pt idx="41">
                  <c:v>15</c:v>
                </c:pt>
                <c:pt idx="42">
                  <c:v>14.2</c:v>
                </c:pt>
                <c:pt idx="43">
                  <c:v>15.1</c:v>
                </c:pt>
                <c:pt idx="44">
                  <c:v>13.5</c:v>
                </c:pt>
                <c:pt idx="45">
                  <c:v>14.2</c:v>
                </c:pt>
                <c:pt idx="46">
                  <c:v>14.5</c:v>
                </c:pt>
                <c:pt idx="47">
                  <c:v>13.9</c:v>
                </c:pt>
                <c:pt idx="48">
                  <c:v>15.8</c:v>
                </c:pt>
                <c:pt idx="49">
                  <c:v>16.2</c:v>
                </c:pt>
                <c:pt idx="50">
                  <c:v>16.2</c:v>
                </c:pt>
                <c:pt idx="51">
                  <c:v>15.9</c:v>
                </c:pt>
                <c:pt idx="52">
                  <c:v>15.9</c:v>
                </c:pt>
                <c:pt idx="53">
                  <c:v>16.899999999999999</c:v>
                </c:pt>
                <c:pt idx="54">
                  <c:v>17.5</c:v>
                </c:pt>
                <c:pt idx="55">
                  <c:v>18.3</c:v>
                </c:pt>
                <c:pt idx="56">
                  <c:v>16.899999999999999</c:v>
                </c:pt>
                <c:pt idx="57">
                  <c:v>13.5</c:v>
                </c:pt>
                <c:pt idx="58">
                  <c:v>12.3</c:v>
                </c:pt>
                <c:pt idx="59">
                  <c:v>12.4</c:v>
                </c:pt>
                <c:pt idx="60">
                  <c:v>12.9</c:v>
                </c:pt>
                <c:pt idx="61">
                  <c:v>13.4</c:v>
                </c:pt>
                <c:pt idx="62">
                  <c:v>12.4</c:v>
                </c:pt>
                <c:pt idx="63">
                  <c:v>12.5</c:v>
                </c:pt>
                <c:pt idx="64">
                  <c:v>12.4</c:v>
                </c:pt>
                <c:pt idx="65">
                  <c:v>12.1</c:v>
                </c:pt>
                <c:pt idx="66">
                  <c:v>12.1</c:v>
                </c:pt>
                <c:pt idx="67">
                  <c:v>11.7</c:v>
                </c:pt>
                <c:pt idx="68">
                  <c:v>11.9</c:v>
                </c:pt>
                <c:pt idx="69">
                  <c:v>12</c:v>
                </c:pt>
                <c:pt idx="70">
                  <c:v>11.7</c:v>
                </c:pt>
                <c:pt idx="71">
                  <c:v>12.1</c:v>
                </c:pt>
                <c:pt idx="72">
                  <c:v>12.5</c:v>
                </c:pt>
                <c:pt idx="73">
                  <c:v>12.1</c:v>
                </c:pt>
                <c:pt idx="74">
                  <c:v>12.4</c:v>
                </c:pt>
                <c:pt idx="75">
                  <c:v>12.7</c:v>
                </c:pt>
                <c:pt idx="76">
                  <c:v>13.1</c:v>
                </c:pt>
                <c:pt idx="77">
                  <c:v>13</c:v>
                </c:pt>
                <c:pt idx="78">
                  <c:v>14</c:v>
                </c:pt>
                <c:pt idx="79">
                  <c:v>14.1</c:v>
                </c:pt>
                <c:pt idx="80">
                  <c:v>14.1</c:v>
                </c:pt>
                <c:pt idx="81">
                  <c:v>14.1</c:v>
                </c:pt>
                <c:pt idx="82">
                  <c:v>14.4</c:v>
                </c:pt>
                <c:pt idx="83">
                  <c:v>14.7</c:v>
                </c:pt>
                <c:pt idx="84">
                  <c:v>13.8</c:v>
                </c:pt>
                <c:pt idx="85">
                  <c:v>13.8</c:v>
                </c:pt>
                <c:pt idx="86">
                  <c:v>14.1</c:v>
                </c:pt>
                <c:pt idx="87">
                  <c:v>14.1</c:v>
                </c:pt>
                <c:pt idx="88">
                  <c:v>15.7</c:v>
                </c:pt>
                <c:pt idx="89">
                  <c:v>15.7</c:v>
                </c:pt>
                <c:pt idx="90">
                  <c:v>15.5</c:v>
                </c:pt>
                <c:pt idx="91">
                  <c:v>14</c:v>
                </c:pt>
                <c:pt idx="92">
                  <c:v>13.3</c:v>
                </c:pt>
                <c:pt idx="93">
                  <c:v>13.1</c:v>
                </c:pt>
                <c:pt idx="94">
                  <c:v>14.1</c:v>
                </c:pt>
                <c:pt idx="95">
                  <c:v>14.5</c:v>
                </c:pt>
                <c:pt idx="96">
                  <c:v>14.8</c:v>
                </c:pt>
                <c:pt idx="97">
                  <c:v>16</c:v>
                </c:pt>
                <c:pt idx="98">
                  <c:v>16.5</c:v>
                </c:pt>
                <c:pt idx="99">
                  <c:v>16.3</c:v>
                </c:pt>
                <c:pt idx="100">
                  <c:v>16.899999999999999</c:v>
                </c:pt>
                <c:pt idx="101">
                  <c:v>16.100000000000001</c:v>
                </c:pt>
                <c:pt idx="102">
                  <c:v>16.899999999999999</c:v>
                </c:pt>
                <c:pt idx="103">
                  <c:v>17.5</c:v>
                </c:pt>
                <c:pt idx="104">
                  <c:v>17.2</c:v>
                </c:pt>
                <c:pt idx="105">
                  <c:v>17.7</c:v>
                </c:pt>
                <c:pt idx="106">
                  <c:v>17.2</c:v>
                </c:pt>
                <c:pt idx="107">
                  <c:v>19.3</c:v>
                </c:pt>
                <c:pt idx="108">
                  <c:v>20.5</c:v>
                </c:pt>
                <c:pt idx="109">
                  <c:v>20.5</c:v>
                </c:pt>
                <c:pt idx="110">
                  <c:v>20.100000000000001</c:v>
                </c:pt>
                <c:pt idx="111">
                  <c:v>20.100000000000001</c:v>
                </c:pt>
                <c:pt idx="112">
                  <c:v>20.2</c:v>
                </c:pt>
                <c:pt idx="113">
                  <c:v>19.7</c:v>
                </c:pt>
                <c:pt idx="114">
                  <c:v>20.100000000000001</c:v>
                </c:pt>
                <c:pt idx="115">
                  <c:v>19.7</c:v>
                </c:pt>
                <c:pt idx="116">
                  <c:v>19.899999999999999</c:v>
                </c:pt>
                <c:pt idx="117">
                  <c:v>19.100000000000001</c:v>
                </c:pt>
                <c:pt idx="118">
                  <c:v>19.7</c:v>
                </c:pt>
                <c:pt idx="119">
                  <c:v>19.899999999999999</c:v>
                </c:pt>
                <c:pt idx="120">
                  <c:v>19.2</c:v>
                </c:pt>
                <c:pt idx="121">
                  <c:v>19.600000000000001</c:v>
                </c:pt>
                <c:pt idx="122">
                  <c:v>19.7</c:v>
                </c:pt>
                <c:pt idx="123">
                  <c:v>18.7</c:v>
                </c:pt>
                <c:pt idx="124">
                  <c:v>19.100000000000001</c:v>
                </c:pt>
                <c:pt idx="125">
                  <c:v>19.2</c:v>
                </c:pt>
                <c:pt idx="126">
                  <c:v>19.2</c:v>
                </c:pt>
                <c:pt idx="127">
                  <c:v>19.8</c:v>
                </c:pt>
                <c:pt idx="128">
                  <c:v>19.600000000000001</c:v>
                </c:pt>
                <c:pt idx="129">
                  <c:v>20</c:v>
                </c:pt>
                <c:pt idx="130">
                  <c:v>19.7</c:v>
                </c:pt>
                <c:pt idx="131">
                  <c:v>20</c:v>
                </c:pt>
                <c:pt idx="132">
                  <c:v>20.5</c:v>
                </c:pt>
                <c:pt idx="133">
                  <c:v>19.5</c:v>
                </c:pt>
                <c:pt idx="134">
                  <c:v>18.600000000000001</c:v>
                </c:pt>
                <c:pt idx="135">
                  <c:v>18.3</c:v>
                </c:pt>
                <c:pt idx="136">
                  <c:v>18.3</c:v>
                </c:pt>
                <c:pt idx="137">
                  <c:v>17.7</c:v>
                </c:pt>
                <c:pt idx="138">
                  <c:v>17.600000000000001</c:v>
                </c:pt>
                <c:pt idx="139">
                  <c:v>17.8</c:v>
                </c:pt>
                <c:pt idx="140">
                  <c:v>17.399999999999999</c:v>
                </c:pt>
                <c:pt idx="141">
                  <c:v>16.8</c:v>
                </c:pt>
                <c:pt idx="142">
                  <c:v>16.2</c:v>
                </c:pt>
                <c:pt idx="143">
                  <c:v>16.399999999999999</c:v>
                </c:pt>
                <c:pt idx="144">
                  <c:v>15.9</c:v>
                </c:pt>
                <c:pt idx="145">
                  <c:v>16.3</c:v>
                </c:pt>
                <c:pt idx="146">
                  <c:v>16.7</c:v>
                </c:pt>
                <c:pt idx="147">
                  <c:v>16.3</c:v>
                </c:pt>
                <c:pt idx="148">
                  <c:v>16.7</c:v>
                </c:pt>
                <c:pt idx="149">
                  <c:v>17.100000000000001</c:v>
                </c:pt>
                <c:pt idx="150">
                  <c:v>16.899999999999999</c:v>
                </c:pt>
                <c:pt idx="151">
                  <c:v>16.8</c:v>
                </c:pt>
                <c:pt idx="152">
                  <c:v>17.600000000000001</c:v>
                </c:pt>
                <c:pt idx="153">
                  <c:v>17.2</c:v>
                </c:pt>
                <c:pt idx="154">
                  <c:v>18</c:v>
                </c:pt>
                <c:pt idx="155">
                  <c:v>18.2</c:v>
                </c:pt>
                <c:pt idx="156">
                  <c:v>19</c:v>
                </c:pt>
                <c:pt idx="157">
                  <c:v>18.899999999999999</c:v>
                </c:pt>
                <c:pt idx="158">
                  <c:v>19</c:v>
                </c:pt>
                <c:pt idx="159">
                  <c:v>18.899999999999999</c:v>
                </c:pt>
                <c:pt idx="160">
                  <c:v>19.399999999999999</c:v>
                </c:pt>
                <c:pt idx="161">
                  <c:v>19.5</c:v>
                </c:pt>
                <c:pt idx="162">
                  <c:v>18.399999999999999</c:v>
                </c:pt>
                <c:pt idx="163">
                  <c:v>18.600000000000001</c:v>
                </c:pt>
                <c:pt idx="164">
                  <c:v>19.7</c:v>
                </c:pt>
                <c:pt idx="165">
                  <c:v>19.7</c:v>
                </c:pt>
                <c:pt idx="166">
                  <c:v>21.1</c:v>
                </c:pt>
                <c:pt idx="167">
                  <c:v>20.8</c:v>
                </c:pt>
                <c:pt idx="168">
                  <c:v>21</c:v>
                </c:pt>
                <c:pt idx="169">
                  <c:v>21.1</c:v>
                </c:pt>
                <c:pt idx="170">
                  <c:v>20.100000000000001</c:v>
                </c:pt>
                <c:pt idx="171">
                  <c:v>20.5</c:v>
                </c:pt>
                <c:pt idx="172">
                  <c:v>21.6</c:v>
                </c:pt>
                <c:pt idx="173">
                  <c:v>22.5</c:v>
                </c:pt>
                <c:pt idx="174">
                  <c:v>23.9</c:v>
                </c:pt>
                <c:pt idx="175">
                  <c:v>22.6</c:v>
                </c:pt>
                <c:pt idx="176">
                  <c:v>23.7</c:v>
                </c:pt>
                <c:pt idx="177">
                  <c:v>22.5</c:v>
                </c:pt>
                <c:pt idx="178">
                  <c:v>23.5</c:v>
                </c:pt>
                <c:pt idx="179">
                  <c:v>24.1</c:v>
                </c:pt>
                <c:pt idx="180">
                  <c:v>24.1</c:v>
                </c:pt>
                <c:pt idx="181">
                  <c:v>25.8</c:v>
                </c:pt>
                <c:pt idx="182">
                  <c:v>27.2</c:v>
                </c:pt>
                <c:pt idx="183">
                  <c:v>27.1</c:v>
                </c:pt>
                <c:pt idx="184">
                  <c:v>26.5</c:v>
                </c:pt>
                <c:pt idx="185">
                  <c:v>27.5</c:v>
                </c:pt>
                <c:pt idx="186">
                  <c:v>26.5</c:v>
                </c:pt>
                <c:pt idx="187">
                  <c:v>22.5</c:v>
                </c:pt>
                <c:pt idx="188">
                  <c:v>23.9</c:v>
                </c:pt>
                <c:pt idx="189">
                  <c:v>25.1</c:v>
                </c:pt>
                <c:pt idx="190">
                  <c:v>26.4</c:v>
                </c:pt>
                <c:pt idx="191">
                  <c:v>27.9</c:v>
                </c:pt>
                <c:pt idx="192">
                  <c:v>29</c:v>
                </c:pt>
                <c:pt idx="193">
                  <c:v>28.1</c:v>
                </c:pt>
                <c:pt idx="194">
                  <c:v>29.2</c:v>
                </c:pt>
                <c:pt idx="195">
                  <c:v>30.6</c:v>
                </c:pt>
                <c:pt idx="196">
                  <c:v>30.1</c:v>
                </c:pt>
                <c:pt idx="197">
                  <c:v>31.1</c:v>
                </c:pt>
                <c:pt idx="198">
                  <c:v>29.2</c:v>
                </c:pt>
                <c:pt idx="199">
                  <c:v>29.2</c:v>
                </c:pt>
                <c:pt idx="200">
                  <c:v>28</c:v>
                </c:pt>
                <c:pt idx="201">
                  <c:v>28.6</c:v>
                </c:pt>
                <c:pt idx="202">
                  <c:v>29</c:v>
                </c:pt>
                <c:pt idx="203">
                  <c:v>30.6</c:v>
                </c:pt>
                <c:pt idx="204">
                  <c:v>28.4</c:v>
                </c:pt>
                <c:pt idx="205">
                  <c:v>27.4</c:v>
                </c:pt>
                <c:pt idx="206">
                  <c:v>29.6</c:v>
                </c:pt>
                <c:pt idx="207">
                  <c:v>29.2</c:v>
                </c:pt>
                <c:pt idx="208">
                  <c:v>28.2</c:v>
                </c:pt>
                <c:pt idx="209">
                  <c:v>29.4</c:v>
                </c:pt>
                <c:pt idx="210">
                  <c:v>28.7</c:v>
                </c:pt>
                <c:pt idx="211">
                  <c:v>30.1</c:v>
                </c:pt>
                <c:pt idx="212">
                  <c:v>28.5</c:v>
                </c:pt>
                <c:pt idx="213">
                  <c:v>27.6</c:v>
                </c:pt>
                <c:pt idx="214">
                  <c:v>24.8</c:v>
                </c:pt>
                <c:pt idx="215">
                  <c:v>25.2</c:v>
                </c:pt>
                <c:pt idx="216">
                  <c:v>26</c:v>
                </c:pt>
                <c:pt idx="217">
                  <c:v>23.4</c:v>
                </c:pt>
                <c:pt idx="218">
                  <c:v>22</c:v>
                </c:pt>
                <c:pt idx="219">
                  <c:v>23.5</c:v>
                </c:pt>
                <c:pt idx="220">
                  <c:v>24</c:v>
                </c:pt>
                <c:pt idx="221">
                  <c:v>23.7</c:v>
                </c:pt>
                <c:pt idx="222">
                  <c:v>24.7</c:v>
                </c:pt>
                <c:pt idx="223">
                  <c:v>24.4</c:v>
                </c:pt>
                <c:pt idx="224">
                  <c:v>22.9</c:v>
                </c:pt>
                <c:pt idx="225">
                  <c:v>23.5</c:v>
                </c:pt>
                <c:pt idx="226">
                  <c:v>26.7</c:v>
                </c:pt>
                <c:pt idx="227">
                  <c:v>27</c:v>
                </c:pt>
                <c:pt idx="228">
                  <c:v>27.4</c:v>
                </c:pt>
                <c:pt idx="229">
                  <c:v>28.3</c:v>
                </c:pt>
                <c:pt idx="230">
                  <c:v>29.3</c:v>
                </c:pt>
                <c:pt idx="231">
                  <c:v>27.4</c:v>
                </c:pt>
                <c:pt idx="232">
                  <c:v>27.5</c:v>
                </c:pt>
                <c:pt idx="233">
                  <c:v>25.5</c:v>
                </c:pt>
                <c:pt idx="234">
                  <c:v>23</c:v>
                </c:pt>
                <c:pt idx="235">
                  <c:v>23.1</c:v>
                </c:pt>
                <c:pt idx="236">
                  <c:v>20.8</c:v>
                </c:pt>
                <c:pt idx="237">
                  <c:v>21.7</c:v>
                </c:pt>
                <c:pt idx="238">
                  <c:v>22.2</c:v>
                </c:pt>
                <c:pt idx="239">
                  <c:v>20.8</c:v>
                </c:pt>
                <c:pt idx="240">
                  <c:v>20.2</c:v>
                </c:pt>
                <c:pt idx="241">
                  <c:v>19.3</c:v>
                </c:pt>
                <c:pt idx="242">
                  <c:v>19.5</c:v>
                </c:pt>
                <c:pt idx="243">
                  <c:v>21</c:v>
                </c:pt>
                <c:pt idx="244">
                  <c:v>21.1</c:v>
                </c:pt>
                <c:pt idx="245">
                  <c:v>21.3</c:v>
                </c:pt>
                <c:pt idx="246">
                  <c:v>21.6</c:v>
                </c:pt>
                <c:pt idx="247">
                  <c:v>21.5</c:v>
                </c:pt>
                <c:pt idx="248">
                  <c:v>21.2</c:v>
                </c:pt>
                <c:pt idx="249">
                  <c:v>22.1</c:v>
                </c:pt>
                <c:pt idx="250">
                  <c:v>21.9</c:v>
                </c:pt>
                <c:pt idx="251">
                  <c:v>22.7</c:v>
                </c:pt>
                <c:pt idx="252">
                  <c:v>22.4</c:v>
                </c:pt>
                <c:pt idx="253">
                  <c:v>21.9</c:v>
                </c:pt>
                <c:pt idx="254">
                  <c:v>21.7</c:v>
                </c:pt>
                <c:pt idx="255">
                  <c:v>20.8</c:v>
                </c:pt>
                <c:pt idx="256">
                  <c:v>20.100000000000001</c:v>
                </c:pt>
                <c:pt idx="257">
                  <c:v>20</c:v>
                </c:pt>
                <c:pt idx="258">
                  <c:v>19.2</c:v>
                </c:pt>
                <c:pt idx="259">
                  <c:v>19</c:v>
                </c:pt>
                <c:pt idx="260">
                  <c:v>19.100000000000001</c:v>
                </c:pt>
                <c:pt idx="261">
                  <c:v>19.2</c:v>
                </c:pt>
                <c:pt idx="262">
                  <c:v>19.7</c:v>
                </c:pt>
                <c:pt idx="263">
                  <c:v>20.3</c:v>
                </c:pt>
                <c:pt idx="264">
                  <c:v>19.399999999999999</c:v>
                </c:pt>
                <c:pt idx="265">
                  <c:v>19.5</c:v>
                </c:pt>
                <c:pt idx="266">
                  <c:v>19.100000000000001</c:v>
                </c:pt>
                <c:pt idx="267">
                  <c:v>18.7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18.600000000000001</c:v>
                </c:pt>
                <c:pt idx="272">
                  <c:v>18.7</c:v>
                </c:pt>
                <c:pt idx="273">
                  <c:v>18.100000000000001</c:v>
                </c:pt>
                <c:pt idx="274">
                  <c:v>18.600000000000001</c:v>
                </c:pt>
                <c:pt idx="275">
                  <c:v>18.5</c:v>
                </c:pt>
                <c:pt idx="276">
                  <c:v>18.899999999999999</c:v>
                </c:pt>
                <c:pt idx="277">
                  <c:v>18.600000000000001</c:v>
                </c:pt>
                <c:pt idx="278">
                  <c:v>18.7</c:v>
                </c:pt>
                <c:pt idx="279">
                  <c:v>18.399999999999999</c:v>
                </c:pt>
                <c:pt idx="280">
                  <c:v>17.5</c:v>
                </c:pt>
                <c:pt idx="281">
                  <c:v>17.5</c:v>
                </c:pt>
                <c:pt idx="282">
                  <c:v>17.100000000000001</c:v>
                </c:pt>
                <c:pt idx="283">
                  <c:v>17.399999999999999</c:v>
                </c:pt>
                <c:pt idx="284">
                  <c:v>17.7</c:v>
                </c:pt>
                <c:pt idx="285">
                  <c:v>18</c:v>
                </c:pt>
                <c:pt idx="286">
                  <c:v>18.100000000000001</c:v>
                </c:pt>
                <c:pt idx="287">
                  <c:v>18.2</c:v>
                </c:pt>
                <c:pt idx="288">
                  <c:v>18.5</c:v>
                </c:pt>
                <c:pt idx="289">
                  <c:v>17.8</c:v>
                </c:pt>
                <c:pt idx="290">
                  <c:v>17.899999999999999</c:v>
                </c:pt>
                <c:pt idx="291">
                  <c:v>18.5</c:v>
                </c:pt>
                <c:pt idx="292">
                  <c:v>18.399999999999999</c:v>
                </c:pt>
                <c:pt idx="293">
                  <c:v>18.100000000000001</c:v>
                </c:pt>
                <c:pt idx="294">
                  <c:v>17.399999999999999</c:v>
                </c:pt>
                <c:pt idx="295">
                  <c:v>17</c:v>
                </c:pt>
                <c:pt idx="296">
                  <c:v>17.600000000000001</c:v>
                </c:pt>
                <c:pt idx="297">
                  <c:v>18.100000000000001</c:v>
                </c:pt>
                <c:pt idx="298">
                  <c:v>18.2</c:v>
                </c:pt>
                <c:pt idx="299">
                  <c:v>18.2</c:v>
                </c:pt>
                <c:pt idx="300">
                  <c:v>17.600000000000001</c:v>
                </c:pt>
                <c:pt idx="301">
                  <c:v>17</c:v>
                </c:pt>
                <c:pt idx="302">
                  <c:v>16.899999999999999</c:v>
                </c:pt>
                <c:pt idx="303">
                  <c:v>17.899999999999999</c:v>
                </c:pt>
                <c:pt idx="304">
                  <c:v>18.5</c:v>
                </c:pt>
                <c:pt idx="305">
                  <c:v>17</c:v>
                </c:pt>
                <c:pt idx="306">
                  <c:v>16.8</c:v>
                </c:pt>
                <c:pt idx="307">
                  <c:v>16.8</c:v>
                </c:pt>
                <c:pt idx="308">
                  <c:v>15.3</c:v>
                </c:pt>
                <c:pt idx="309">
                  <c:v>12.8</c:v>
                </c:pt>
                <c:pt idx="310">
                  <c:v>11.6</c:v>
                </c:pt>
                <c:pt idx="311">
                  <c:v>11.9</c:v>
                </c:pt>
                <c:pt idx="312">
                  <c:v>11.7</c:v>
                </c:pt>
                <c:pt idx="313">
                  <c:v>11.2</c:v>
                </c:pt>
                <c:pt idx="314">
                  <c:v>12.2</c:v>
                </c:pt>
                <c:pt idx="315">
                  <c:v>13.7</c:v>
                </c:pt>
                <c:pt idx="316">
                  <c:v>15</c:v>
                </c:pt>
                <c:pt idx="317">
                  <c:v>15</c:v>
                </c:pt>
                <c:pt idx="318">
                  <c:v>16.899999999999999</c:v>
                </c:pt>
                <c:pt idx="319">
                  <c:v>18.100000000000001</c:v>
                </c:pt>
                <c:pt idx="320">
                  <c:v>18.899999999999999</c:v>
                </c:pt>
                <c:pt idx="321">
                  <c:v>19.3</c:v>
                </c:pt>
                <c:pt idx="322">
                  <c:v>21.2</c:v>
                </c:pt>
                <c:pt idx="323">
                  <c:v>21.7</c:v>
                </c:pt>
                <c:pt idx="324">
                  <c:v>20.5</c:v>
                </c:pt>
                <c:pt idx="325">
                  <c:v>19.7</c:v>
                </c:pt>
                <c:pt idx="326">
                  <c:v>20.6</c:v>
                </c:pt>
                <c:pt idx="327">
                  <c:v>19.399999999999999</c:v>
                </c:pt>
                <c:pt idx="328">
                  <c:v>17.100000000000001</c:v>
                </c:pt>
                <c:pt idx="329">
                  <c:v>16.100000000000001</c:v>
                </c:pt>
                <c:pt idx="330">
                  <c:v>16.5</c:v>
                </c:pt>
                <c:pt idx="331">
                  <c:v>15.3</c:v>
                </c:pt>
                <c:pt idx="332">
                  <c:v>16.5</c:v>
                </c:pt>
                <c:pt idx="333">
                  <c:v>16.7</c:v>
                </c:pt>
                <c:pt idx="334">
                  <c:v>16.399999999999999</c:v>
                </c:pt>
                <c:pt idx="335">
                  <c:v>17.399999999999999</c:v>
                </c:pt>
                <c:pt idx="336">
                  <c:v>17.5</c:v>
                </c:pt>
                <c:pt idx="337">
                  <c:v>17.600000000000001</c:v>
                </c:pt>
                <c:pt idx="338">
                  <c:v>17.5</c:v>
                </c:pt>
                <c:pt idx="339">
                  <c:v>16.8</c:v>
                </c:pt>
                <c:pt idx="340">
                  <c:v>16.600000000000001</c:v>
                </c:pt>
                <c:pt idx="341">
                  <c:v>16.100000000000001</c:v>
                </c:pt>
                <c:pt idx="342">
                  <c:v>15.6</c:v>
                </c:pt>
                <c:pt idx="343">
                  <c:v>14.3</c:v>
                </c:pt>
                <c:pt idx="344">
                  <c:v>13.2</c:v>
                </c:pt>
                <c:pt idx="345">
                  <c:v>14.8</c:v>
                </c:pt>
                <c:pt idx="346">
                  <c:v>14.3</c:v>
                </c:pt>
                <c:pt idx="347">
                  <c:v>14.4</c:v>
                </c:pt>
                <c:pt idx="348">
                  <c:v>14.9</c:v>
                </c:pt>
                <c:pt idx="349">
                  <c:v>15.8</c:v>
                </c:pt>
                <c:pt idx="350">
                  <c:v>16.3</c:v>
                </c:pt>
                <c:pt idx="351">
                  <c:v>15.9</c:v>
                </c:pt>
                <c:pt idx="352">
                  <c:v>14.7</c:v>
                </c:pt>
                <c:pt idx="353">
                  <c:v>15.3</c:v>
                </c:pt>
                <c:pt idx="354">
                  <c:v>15.4</c:v>
                </c:pt>
                <c:pt idx="355">
                  <c:v>15.9</c:v>
                </c:pt>
                <c:pt idx="356">
                  <c:v>16.2</c:v>
                </c:pt>
                <c:pt idx="357">
                  <c:v>16</c:v>
                </c:pt>
                <c:pt idx="358">
                  <c:v>16.100000000000001</c:v>
                </c:pt>
                <c:pt idx="359">
                  <c:v>16.2</c:v>
                </c:pt>
                <c:pt idx="360">
                  <c:v>17.100000000000001</c:v>
                </c:pt>
                <c:pt idx="361">
                  <c:v>17.5</c:v>
                </c:pt>
                <c:pt idx="362">
                  <c:v>18.2</c:v>
                </c:pt>
                <c:pt idx="363">
                  <c:v>18.3</c:v>
                </c:pt>
                <c:pt idx="364">
                  <c:v>18.5</c:v>
                </c:pt>
                <c:pt idx="365">
                  <c:v>18.2</c:v>
                </c:pt>
                <c:pt idx="366">
                  <c:v>18.7</c:v>
                </c:pt>
                <c:pt idx="367">
                  <c:v>18.100000000000001</c:v>
                </c:pt>
                <c:pt idx="368">
                  <c:v>18.7</c:v>
                </c:pt>
                <c:pt idx="369">
                  <c:v>19.3</c:v>
                </c:pt>
                <c:pt idx="370">
                  <c:v>19.600000000000001</c:v>
                </c:pt>
                <c:pt idx="371">
                  <c:v>20</c:v>
                </c:pt>
                <c:pt idx="372">
                  <c:v>18.600000000000001</c:v>
                </c:pt>
                <c:pt idx="373">
                  <c:v>19.2</c:v>
                </c:pt>
                <c:pt idx="374">
                  <c:v>19.2</c:v>
                </c:pt>
                <c:pt idx="375">
                  <c:v>19.399999999999999</c:v>
                </c:pt>
                <c:pt idx="376">
                  <c:v>19.8</c:v>
                </c:pt>
                <c:pt idx="377">
                  <c:v>20.3</c:v>
                </c:pt>
                <c:pt idx="378">
                  <c:v>20</c:v>
                </c:pt>
                <c:pt idx="379">
                  <c:v>20.6</c:v>
                </c:pt>
                <c:pt idx="380">
                  <c:v>20.100000000000001</c:v>
                </c:pt>
                <c:pt idx="381">
                  <c:v>20.2</c:v>
                </c:pt>
                <c:pt idx="382">
                  <c:v>20.2</c:v>
                </c:pt>
                <c:pt idx="383">
                  <c:v>20.100000000000001</c:v>
                </c:pt>
                <c:pt idx="384">
                  <c:v>20.3</c:v>
                </c:pt>
                <c:pt idx="385">
                  <c:v>21.3</c:v>
                </c:pt>
                <c:pt idx="386">
                  <c:v>21.1</c:v>
                </c:pt>
                <c:pt idx="387">
                  <c:v>21.1</c:v>
                </c:pt>
                <c:pt idx="388">
                  <c:v>21.5</c:v>
                </c:pt>
                <c:pt idx="389">
                  <c:v>21.1</c:v>
                </c:pt>
                <c:pt idx="390">
                  <c:v>21.5</c:v>
                </c:pt>
                <c:pt idx="391">
                  <c:v>20.399999999999999</c:v>
                </c:pt>
                <c:pt idx="392">
                  <c:v>19.8</c:v>
                </c:pt>
                <c:pt idx="393">
                  <c:v>21.2</c:v>
                </c:pt>
                <c:pt idx="394">
                  <c:v>21.4</c:v>
                </c:pt>
                <c:pt idx="395">
                  <c:v>21.1</c:v>
                </c:pt>
                <c:pt idx="396">
                  <c:v>19.600000000000001</c:v>
                </c:pt>
                <c:pt idx="397">
                  <c:v>19.7</c:v>
                </c:pt>
                <c:pt idx="398">
                  <c:v>20.9</c:v>
                </c:pt>
                <c:pt idx="399">
                  <c:v>20.9</c:v>
                </c:pt>
                <c:pt idx="400">
                  <c:v>21.3</c:v>
                </c:pt>
                <c:pt idx="401">
                  <c:v>21.4</c:v>
                </c:pt>
                <c:pt idx="402">
                  <c:v>22.1</c:v>
                </c:pt>
                <c:pt idx="403">
                  <c:v>21.9</c:v>
                </c:pt>
                <c:pt idx="404">
                  <c:v>21.9</c:v>
                </c:pt>
                <c:pt idx="405">
                  <c:v>21.4</c:v>
                </c:pt>
                <c:pt idx="406">
                  <c:v>21.9</c:v>
                </c:pt>
                <c:pt idx="407">
                  <c:v>22.3</c:v>
                </c:pt>
                <c:pt idx="408">
                  <c:v>22.7</c:v>
                </c:pt>
                <c:pt idx="409">
                  <c:v>23.1</c:v>
                </c:pt>
                <c:pt idx="410">
                  <c:v>23</c:v>
                </c:pt>
                <c:pt idx="411">
                  <c:v>23.3</c:v>
                </c:pt>
                <c:pt idx="412">
                  <c:v>22.9</c:v>
                </c:pt>
                <c:pt idx="413">
                  <c:v>23.1</c:v>
                </c:pt>
                <c:pt idx="414">
                  <c:v>23.3</c:v>
                </c:pt>
                <c:pt idx="415">
                  <c:v>22.9</c:v>
                </c:pt>
                <c:pt idx="416">
                  <c:v>23.2</c:v>
                </c:pt>
                <c:pt idx="417">
                  <c:v>23.5</c:v>
                </c:pt>
                <c:pt idx="418">
                  <c:v>24.1</c:v>
                </c:pt>
                <c:pt idx="419">
                  <c:v>24.3</c:v>
                </c:pt>
                <c:pt idx="420">
                  <c:v>25.7</c:v>
                </c:pt>
                <c:pt idx="421">
                  <c:v>24.6</c:v>
                </c:pt>
                <c:pt idx="422">
                  <c:v>23.6</c:v>
                </c:pt>
                <c:pt idx="423">
                  <c:v>22.9</c:v>
                </c:pt>
                <c:pt idx="424">
                  <c:v>23.1</c:v>
                </c:pt>
                <c:pt idx="425">
                  <c:v>23.2</c:v>
                </c:pt>
                <c:pt idx="426">
                  <c:v>23.2</c:v>
                </c:pt>
                <c:pt idx="427">
                  <c:v>23.5</c:v>
                </c:pt>
                <c:pt idx="428">
                  <c:v>23.3</c:v>
                </c:pt>
                <c:pt idx="429">
                  <c:v>21.1</c:v>
                </c:pt>
                <c:pt idx="430">
                  <c:v>20.7</c:v>
                </c:pt>
                <c:pt idx="431">
                  <c:v>18.8</c:v>
                </c:pt>
                <c:pt idx="432">
                  <c:v>20.2</c:v>
                </c:pt>
                <c:pt idx="433">
                  <c:v>20.7</c:v>
                </c:pt>
                <c:pt idx="434">
                  <c:v>21.4</c:v>
                </c:pt>
                <c:pt idx="435">
                  <c:v>22.2</c:v>
                </c:pt>
                <c:pt idx="436">
                  <c:v>20.7</c:v>
                </c:pt>
                <c:pt idx="437">
                  <c:v>22</c:v>
                </c:pt>
                <c:pt idx="438">
                  <c:v>22.3</c:v>
                </c:pt>
                <c:pt idx="439">
                  <c:v>21.6</c:v>
                </c:pt>
                <c:pt idx="440">
                  <c:v>21.8</c:v>
                </c:pt>
                <c:pt idx="441">
                  <c:v>22.5</c:v>
                </c:pt>
                <c:pt idx="442">
                  <c:v>23.3</c:v>
                </c:pt>
                <c:pt idx="443">
                  <c:v>23.9</c:v>
                </c:pt>
                <c:pt idx="444">
                  <c:v>23.7</c:v>
                </c:pt>
                <c:pt idx="445">
                  <c:v>21.6</c:v>
                </c:pt>
                <c:pt idx="446">
                  <c:v>18.7</c:v>
                </c:pt>
                <c:pt idx="447">
                  <c:v>21.8</c:v>
                </c:pt>
                <c:pt idx="448">
                  <c:v>24.1</c:v>
                </c:pt>
                <c:pt idx="449">
                  <c:v>24.7</c:v>
                </c:pt>
                <c:pt idx="450">
                  <c:v>28</c:v>
                </c:pt>
                <c:pt idx="451">
                  <c:v>31.5</c:v>
                </c:pt>
                <c:pt idx="452">
                  <c:v>30.3</c:v>
                </c:pt>
                <c:pt idx="453">
                  <c:v>29.7</c:v>
                </c:pt>
                <c:pt idx="454">
                  <c:v>32.9</c:v>
                </c:pt>
                <c:pt idx="455">
                  <c:v>34.1</c:v>
                </c:pt>
                <c:pt idx="456">
                  <c:v>33.5</c:v>
                </c:pt>
                <c:pt idx="457">
                  <c:v>34.1</c:v>
                </c:pt>
                <c:pt idx="458">
                  <c:v>35</c:v>
                </c:pt>
                <c:pt idx="459">
                  <c:v>33.6</c:v>
                </c:pt>
                <c:pt idx="460">
                  <c:v>30.8</c:v>
                </c:pt>
                <c:pt idx="461">
                  <c:v>31.3</c:v>
                </c:pt>
                <c:pt idx="462">
                  <c:v>29.2</c:v>
                </c:pt>
                <c:pt idx="463">
                  <c:v>28</c:v>
                </c:pt>
                <c:pt idx="464">
                  <c:v>26.6</c:v>
                </c:pt>
                <c:pt idx="465">
                  <c:v>27.4</c:v>
                </c:pt>
                <c:pt idx="466">
                  <c:v>26.2</c:v>
                </c:pt>
                <c:pt idx="467">
                  <c:v>27.1</c:v>
                </c:pt>
                <c:pt idx="468">
                  <c:v>24.6</c:v>
                </c:pt>
                <c:pt idx="469">
                  <c:v>22.4</c:v>
                </c:pt>
                <c:pt idx="470">
                  <c:v>23</c:v>
                </c:pt>
                <c:pt idx="471">
                  <c:v>21</c:v>
                </c:pt>
                <c:pt idx="472">
                  <c:v>20.9</c:v>
                </c:pt>
                <c:pt idx="473">
                  <c:v>19.100000000000001</c:v>
                </c:pt>
                <c:pt idx="474">
                  <c:v>21</c:v>
                </c:pt>
                <c:pt idx="475">
                  <c:v>20.5</c:v>
                </c:pt>
                <c:pt idx="476">
                  <c:v>18.600000000000001</c:v>
                </c:pt>
                <c:pt idx="477">
                  <c:v>20.399999999999999</c:v>
                </c:pt>
                <c:pt idx="478">
                  <c:v>21.4</c:v>
                </c:pt>
                <c:pt idx="479">
                  <c:v>20.100000000000001</c:v>
                </c:pt>
                <c:pt idx="480">
                  <c:v>21.8</c:v>
                </c:pt>
                <c:pt idx="481">
                  <c:v>21.7</c:v>
                </c:pt>
                <c:pt idx="482">
                  <c:v>22.4</c:v>
                </c:pt>
                <c:pt idx="483">
                  <c:v>22.8</c:v>
                </c:pt>
                <c:pt idx="484">
                  <c:v>22.6</c:v>
                </c:pt>
                <c:pt idx="485">
                  <c:v>24.1</c:v>
                </c:pt>
                <c:pt idx="486">
                  <c:v>24.8</c:v>
                </c:pt>
                <c:pt idx="487">
                  <c:v>23.9</c:v>
                </c:pt>
                <c:pt idx="488">
                  <c:v>22.8</c:v>
                </c:pt>
                <c:pt idx="489">
                  <c:v>22</c:v>
                </c:pt>
                <c:pt idx="490">
                  <c:v>23.9</c:v>
                </c:pt>
                <c:pt idx="491">
                  <c:v>25</c:v>
                </c:pt>
                <c:pt idx="492">
                  <c:v>25.2</c:v>
                </c:pt>
                <c:pt idx="493">
                  <c:v>26</c:v>
                </c:pt>
                <c:pt idx="494">
                  <c:v>26.9</c:v>
                </c:pt>
                <c:pt idx="495">
                  <c:v>25.7</c:v>
                </c:pt>
                <c:pt idx="496">
                  <c:v>26.8</c:v>
                </c:pt>
                <c:pt idx="497">
                  <c:v>27.6</c:v>
                </c:pt>
                <c:pt idx="498">
                  <c:v>27.8</c:v>
                </c:pt>
                <c:pt idx="499">
                  <c:v>27.5</c:v>
                </c:pt>
                <c:pt idx="500">
                  <c:v>28.4</c:v>
                </c:pt>
                <c:pt idx="501">
                  <c:v>28.4</c:v>
                </c:pt>
                <c:pt idx="502">
                  <c:v>29.9</c:v>
                </c:pt>
                <c:pt idx="503">
                  <c:v>28.9</c:v>
                </c:pt>
                <c:pt idx="504">
                  <c:v>29</c:v>
                </c:pt>
                <c:pt idx="505">
                  <c:v>27.8</c:v>
                </c:pt>
                <c:pt idx="506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6A-4C44-9B5E-5606AF904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33024"/>
        <c:axId val="1270030624"/>
      </c:lineChart>
      <c:lineChart>
        <c:grouping val="standard"/>
        <c:varyColors val="0"/>
        <c:ser>
          <c:idx val="1"/>
          <c:order val="1"/>
          <c:tx>
            <c:strRef>
              <c:f>'Raw Data'!$H$4</c:f>
              <c:strCache>
                <c:ptCount val="1"/>
                <c:pt idx="0">
                  <c:v>12M FWD 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'Raw Data'!$A$126:$A$700</c:f>
              <c:numCache>
                <c:formatCode>m/d/yyyy</c:formatCode>
                <c:ptCount val="575"/>
                <c:pt idx="0">
                  <c:v>30347</c:v>
                </c:pt>
                <c:pt idx="1">
                  <c:v>30375</c:v>
                </c:pt>
                <c:pt idx="2">
                  <c:v>30406</c:v>
                </c:pt>
                <c:pt idx="3">
                  <c:v>30435</c:v>
                </c:pt>
                <c:pt idx="4">
                  <c:v>30467</c:v>
                </c:pt>
                <c:pt idx="5">
                  <c:v>30497</c:v>
                </c:pt>
                <c:pt idx="6">
                  <c:v>30526</c:v>
                </c:pt>
                <c:pt idx="7">
                  <c:v>30559</c:v>
                </c:pt>
                <c:pt idx="8">
                  <c:v>30589</c:v>
                </c:pt>
                <c:pt idx="9">
                  <c:v>30620</c:v>
                </c:pt>
                <c:pt idx="10">
                  <c:v>30650</c:v>
                </c:pt>
                <c:pt idx="11">
                  <c:v>30680</c:v>
                </c:pt>
                <c:pt idx="12">
                  <c:v>30712</c:v>
                </c:pt>
                <c:pt idx="13">
                  <c:v>30741</c:v>
                </c:pt>
                <c:pt idx="14">
                  <c:v>30771</c:v>
                </c:pt>
                <c:pt idx="15">
                  <c:v>30802</c:v>
                </c:pt>
                <c:pt idx="16">
                  <c:v>30833</c:v>
                </c:pt>
                <c:pt idx="17">
                  <c:v>30862</c:v>
                </c:pt>
                <c:pt idx="18">
                  <c:v>30894</c:v>
                </c:pt>
                <c:pt idx="19">
                  <c:v>30925</c:v>
                </c:pt>
                <c:pt idx="20">
                  <c:v>30953</c:v>
                </c:pt>
                <c:pt idx="21">
                  <c:v>30986</c:v>
                </c:pt>
                <c:pt idx="22">
                  <c:v>31016</c:v>
                </c:pt>
                <c:pt idx="23">
                  <c:v>31047</c:v>
                </c:pt>
                <c:pt idx="24">
                  <c:v>31078</c:v>
                </c:pt>
                <c:pt idx="25">
                  <c:v>31106</c:v>
                </c:pt>
                <c:pt idx="26">
                  <c:v>31135</c:v>
                </c:pt>
                <c:pt idx="27">
                  <c:v>31167</c:v>
                </c:pt>
                <c:pt idx="28">
                  <c:v>31198</c:v>
                </c:pt>
                <c:pt idx="29">
                  <c:v>31226</c:v>
                </c:pt>
                <c:pt idx="30">
                  <c:v>31259</c:v>
                </c:pt>
                <c:pt idx="31">
                  <c:v>31289</c:v>
                </c:pt>
                <c:pt idx="32">
                  <c:v>31320</c:v>
                </c:pt>
                <c:pt idx="33">
                  <c:v>31351</c:v>
                </c:pt>
                <c:pt idx="34">
                  <c:v>31380</c:v>
                </c:pt>
                <c:pt idx="35">
                  <c:v>31412</c:v>
                </c:pt>
                <c:pt idx="36">
                  <c:v>31443</c:v>
                </c:pt>
                <c:pt idx="37">
                  <c:v>31471</c:v>
                </c:pt>
                <c:pt idx="38">
                  <c:v>31502</c:v>
                </c:pt>
                <c:pt idx="39">
                  <c:v>31532</c:v>
                </c:pt>
                <c:pt idx="40">
                  <c:v>31562</c:v>
                </c:pt>
                <c:pt idx="41">
                  <c:v>31593</c:v>
                </c:pt>
                <c:pt idx="42">
                  <c:v>31624</c:v>
                </c:pt>
                <c:pt idx="43">
                  <c:v>31653</c:v>
                </c:pt>
                <c:pt idx="44">
                  <c:v>31685</c:v>
                </c:pt>
                <c:pt idx="45">
                  <c:v>31716</c:v>
                </c:pt>
                <c:pt idx="46">
                  <c:v>31744</c:v>
                </c:pt>
                <c:pt idx="47">
                  <c:v>31777</c:v>
                </c:pt>
                <c:pt idx="48">
                  <c:v>31807</c:v>
                </c:pt>
                <c:pt idx="49">
                  <c:v>31835</c:v>
                </c:pt>
                <c:pt idx="50">
                  <c:v>31867</c:v>
                </c:pt>
                <c:pt idx="51">
                  <c:v>31897</c:v>
                </c:pt>
                <c:pt idx="52">
                  <c:v>31926</c:v>
                </c:pt>
                <c:pt idx="53">
                  <c:v>31958</c:v>
                </c:pt>
                <c:pt idx="54">
                  <c:v>31989</c:v>
                </c:pt>
                <c:pt idx="55">
                  <c:v>32020</c:v>
                </c:pt>
                <c:pt idx="56">
                  <c:v>32050</c:v>
                </c:pt>
                <c:pt idx="57">
                  <c:v>32080</c:v>
                </c:pt>
                <c:pt idx="58">
                  <c:v>32111</c:v>
                </c:pt>
                <c:pt idx="59">
                  <c:v>32142</c:v>
                </c:pt>
                <c:pt idx="60">
                  <c:v>32171</c:v>
                </c:pt>
                <c:pt idx="61">
                  <c:v>32202</c:v>
                </c:pt>
                <c:pt idx="62">
                  <c:v>32233</c:v>
                </c:pt>
                <c:pt idx="63">
                  <c:v>32262</c:v>
                </c:pt>
                <c:pt idx="64">
                  <c:v>32294</c:v>
                </c:pt>
                <c:pt idx="65">
                  <c:v>32324</c:v>
                </c:pt>
                <c:pt idx="66">
                  <c:v>32353</c:v>
                </c:pt>
                <c:pt idx="67">
                  <c:v>32386</c:v>
                </c:pt>
                <c:pt idx="68">
                  <c:v>32416</c:v>
                </c:pt>
                <c:pt idx="69">
                  <c:v>32447</c:v>
                </c:pt>
                <c:pt idx="70">
                  <c:v>32477</c:v>
                </c:pt>
                <c:pt idx="71">
                  <c:v>32507</c:v>
                </c:pt>
                <c:pt idx="72">
                  <c:v>32539</c:v>
                </c:pt>
                <c:pt idx="73">
                  <c:v>32567</c:v>
                </c:pt>
                <c:pt idx="74">
                  <c:v>32598</c:v>
                </c:pt>
                <c:pt idx="75">
                  <c:v>32626</c:v>
                </c:pt>
                <c:pt idx="76">
                  <c:v>32659</c:v>
                </c:pt>
                <c:pt idx="77">
                  <c:v>32689</c:v>
                </c:pt>
                <c:pt idx="78">
                  <c:v>32720</c:v>
                </c:pt>
                <c:pt idx="79">
                  <c:v>32751</c:v>
                </c:pt>
                <c:pt idx="80">
                  <c:v>32780</c:v>
                </c:pt>
                <c:pt idx="81">
                  <c:v>32812</c:v>
                </c:pt>
                <c:pt idx="82">
                  <c:v>32842</c:v>
                </c:pt>
                <c:pt idx="83">
                  <c:v>32871</c:v>
                </c:pt>
                <c:pt idx="84">
                  <c:v>32904</c:v>
                </c:pt>
                <c:pt idx="85">
                  <c:v>32932</c:v>
                </c:pt>
                <c:pt idx="86">
                  <c:v>32962</c:v>
                </c:pt>
                <c:pt idx="87">
                  <c:v>32993</c:v>
                </c:pt>
                <c:pt idx="88">
                  <c:v>33024</c:v>
                </c:pt>
                <c:pt idx="89">
                  <c:v>33053</c:v>
                </c:pt>
                <c:pt idx="90">
                  <c:v>33085</c:v>
                </c:pt>
                <c:pt idx="91">
                  <c:v>33116</c:v>
                </c:pt>
                <c:pt idx="92">
                  <c:v>33144</c:v>
                </c:pt>
                <c:pt idx="93">
                  <c:v>33177</c:v>
                </c:pt>
                <c:pt idx="94">
                  <c:v>33207</c:v>
                </c:pt>
                <c:pt idx="95">
                  <c:v>33238</c:v>
                </c:pt>
                <c:pt idx="96">
                  <c:v>33269</c:v>
                </c:pt>
                <c:pt idx="97">
                  <c:v>33297</c:v>
                </c:pt>
                <c:pt idx="98">
                  <c:v>33326</c:v>
                </c:pt>
                <c:pt idx="99">
                  <c:v>33358</c:v>
                </c:pt>
                <c:pt idx="100">
                  <c:v>33389</c:v>
                </c:pt>
                <c:pt idx="101">
                  <c:v>33417</c:v>
                </c:pt>
                <c:pt idx="102">
                  <c:v>33450</c:v>
                </c:pt>
                <c:pt idx="103">
                  <c:v>33480</c:v>
                </c:pt>
                <c:pt idx="104">
                  <c:v>33511</c:v>
                </c:pt>
                <c:pt idx="105">
                  <c:v>33542</c:v>
                </c:pt>
                <c:pt idx="106">
                  <c:v>33571</c:v>
                </c:pt>
                <c:pt idx="107">
                  <c:v>33603</c:v>
                </c:pt>
                <c:pt idx="108">
                  <c:v>33634</c:v>
                </c:pt>
                <c:pt idx="109">
                  <c:v>33662</c:v>
                </c:pt>
                <c:pt idx="110">
                  <c:v>33694</c:v>
                </c:pt>
                <c:pt idx="111">
                  <c:v>33724</c:v>
                </c:pt>
                <c:pt idx="112">
                  <c:v>33753</c:v>
                </c:pt>
                <c:pt idx="113">
                  <c:v>33785</c:v>
                </c:pt>
                <c:pt idx="114">
                  <c:v>33816</c:v>
                </c:pt>
                <c:pt idx="115">
                  <c:v>33847</c:v>
                </c:pt>
                <c:pt idx="116">
                  <c:v>33877</c:v>
                </c:pt>
                <c:pt idx="117">
                  <c:v>33907</c:v>
                </c:pt>
                <c:pt idx="118">
                  <c:v>33938</c:v>
                </c:pt>
                <c:pt idx="119">
                  <c:v>33969</c:v>
                </c:pt>
                <c:pt idx="120">
                  <c:v>33998</c:v>
                </c:pt>
                <c:pt idx="121">
                  <c:v>34026</c:v>
                </c:pt>
                <c:pt idx="122">
                  <c:v>34059</c:v>
                </c:pt>
                <c:pt idx="123">
                  <c:v>34089</c:v>
                </c:pt>
                <c:pt idx="124">
                  <c:v>34120</c:v>
                </c:pt>
                <c:pt idx="125">
                  <c:v>34150</c:v>
                </c:pt>
                <c:pt idx="126">
                  <c:v>34180</c:v>
                </c:pt>
                <c:pt idx="127">
                  <c:v>34212</c:v>
                </c:pt>
                <c:pt idx="128">
                  <c:v>34242</c:v>
                </c:pt>
                <c:pt idx="129">
                  <c:v>34271</c:v>
                </c:pt>
                <c:pt idx="130">
                  <c:v>34303</c:v>
                </c:pt>
                <c:pt idx="131">
                  <c:v>34334</c:v>
                </c:pt>
                <c:pt idx="132">
                  <c:v>34365</c:v>
                </c:pt>
                <c:pt idx="133">
                  <c:v>34393</c:v>
                </c:pt>
                <c:pt idx="134">
                  <c:v>34424</c:v>
                </c:pt>
                <c:pt idx="135">
                  <c:v>34453</c:v>
                </c:pt>
                <c:pt idx="136">
                  <c:v>34485</c:v>
                </c:pt>
                <c:pt idx="137">
                  <c:v>34515</c:v>
                </c:pt>
                <c:pt idx="138">
                  <c:v>34544</c:v>
                </c:pt>
                <c:pt idx="139">
                  <c:v>34577</c:v>
                </c:pt>
                <c:pt idx="140">
                  <c:v>34607</c:v>
                </c:pt>
                <c:pt idx="141">
                  <c:v>34638</c:v>
                </c:pt>
                <c:pt idx="142">
                  <c:v>34668</c:v>
                </c:pt>
                <c:pt idx="143">
                  <c:v>34698</c:v>
                </c:pt>
                <c:pt idx="144">
                  <c:v>34730</c:v>
                </c:pt>
                <c:pt idx="145">
                  <c:v>34758</c:v>
                </c:pt>
                <c:pt idx="146">
                  <c:v>34789</c:v>
                </c:pt>
                <c:pt idx="147">
                  <c:v>34817</c:v>
                </c:pt>
                <c:pt idx="148">
                  <c:v>34850</c:v>
                </c:pt>
                <c:pt idx="149">
                  <c:v>34880</c:v>
                </c:pt>
                <c:pt idx="150">
                  <c:v>34911</c:v>
                </c:pt>
                <c:pt idx="151">
                  <c:v>34942</c:v>
                </c:pt>
                <c:pt idx="152">
                  <c:v>34971</c:v>
                </c:pt>
                <c:pt idx="153">
                  <c:v>35003</c:v>
                </c:pt>
                <c:pt idx="154">
                  <c:v>35033</c:v>
                </c:pt>
                <c:pt idx="155">
                  <c:v>35062</c:v>
                </c:pt>
                <c:pt idx="156">
                  <c:v>35095</c:v>
                </c:pt>
                <c:pt idx="157">
                  <c:v>35124</c:v>
                </c:pt>
                <c:pt idx="158">
                  <c:v>35153</c:v>
                </c:pt>
                <c:pt idx="159">
                  <c:v>35185</c:v>
                </c:pt>
                <c:pt idx="160">
                  <c:v>35216</c:v>
                </c:pt>
                <c:pt idx="161">
                  <c:v>35244</c:v>
                </c:pt>
                <c:pt idx="162">
                  <c:v>35277</c:v>
                </c:pt>
                <c:pt idx="163">
                  <c:v>35307</c:v>
                </c:pt>
                <c:pt idx="164">
                  <c:v>35338</c:v>
                </c:pt>
                <c:pt idx="165">
                  <c:v>35369</c:v>
                </c:pt>
                <c:pt idx="166">
                  <c:v>35398</c:v>
                </c:pt>
                <c:pt idx="167">
                  <c:v>35430</c:v>
                </c:pt>
                <c:pt idx="168">
                  <c:v>35461</c:v>
                </c:pt>
                <c:pt idx="169">
                  <c:v>35489</c:v>
                </c:pt>
                <c:pt idx="170">
                  <c:v>35520</c:v>
                </c:pt>
                <c:pt idx="171">
                  <c:v>35550</c:v>
                </c:pt>
                <c:pt idx="172">
                  <c:v>35580</c:v>
                </c:pt>
                <c:pt idx="173">
                  <c:v>35611</c:v>
                </c:pt>
                <c:pt idx="174">
                  <c:v>35642</c:v>
                </c:pt>
                <c:pt idx="175">
                  <c:v>35671</c:v>
                </c:pt>
                <c:pt idx="176">
                  <c:v>35703</c:v>
                </c:pt>
                <c:pt idx="177">
                  <c:v>35734</c:v>
                </c:pt>
                <c:pt idx="178">
                  <c:v>35762</c:v>
                </c:pt>
                <c:pt idx="179">
                  <c:v>35795</c:v>
                </c:pt>
                <c:pt idx="180">
                  <c:v>35825</c:v>
                </c:pt>
                <c:pt idx="181">
                  <c:v>35853</c:v>
                </c:pt>
                <c:pt idx="182">
                  <c:v>35885</c:v>
                </c:pt>
                <c:pt idx="183">
                  <c:v>35915</c:v>
                </c:pt>
                <c:pt idx="184">
                  <c:v>35944</c:v>
                </c:pt>
                <c:pt idx="185">
                  <c:v>35976</c:v>
                </c:pt>
                <c:pt idx="186">
                  <c:v>36007</c:v>
                </c:pt>
                <c:pt idx="187">
                  <c:v>36038</c:v>
                </c:pt>
                <c:pt idx="188">
                  <c:v>36068</c:v>
                </c:pt>
                <c:pt idx="189">
                  <c:v>36098</c:v>
                </c:pt>
                <c:pt idx="190">
                  <c:v>36129</c:v>
                </c:pt>
                <c:pt idx="191">
                  <c:v>36160</c:v>
                </c:pt>
                <c:pt idx="192">
                  <c:v>36189</c:v>
                </c:pt>
                <c:pt idx="193">
                  <c:v>36217</c:v>
                </c:pt>
                <c:pt idx="194">
                  <c:v>36250</c:v>
                </c:pt>
                <c:pt idx="195">
                  <c:v>36280</c:v>
                </c:pt>
                <c:pt idx="196">
                  <c:v>36311</c:v>
                </c:pt>
                <c:pt idx="197">
                  <c:v>36341</c:v>
                </c:pt>
                <c:pt idx="198">
                  <c:v>36371</c:v>
                </c:pt>
                <c:pt idx="199">
                  <c:v>36403</c:v>
                </c:pt>
                <c:pt idx="200">
                  <c:v>36433</c:v>
                </c:pt>
                <c:pt idx="201">
                  <c:v>36462</c:v>
                </c:pt>
                <c:pt idx="202">
                  <c:v>36494</c:v>
                </c:pt>
                <c:pt idx="203">
                  <c:v>36525</c:v>
                </c:pt>
                <c:pt idx="204">
                  <c:v>36556</c:v>
                </c:pt>
                <c:pt idx="205">
                  <c:v>36585</c:v>
                </c:pt>
                <c:pt idx="206">
                  <c:v>36616</c:v>
                </c:pt>
                <c:pt idx="207">
                  <c:v>36644</c:v>
                </c:pt>
                <c:pt idx="208">
                  <c:v>36677</c:v>
                </c:pt>
                <c:pt idx="209">
                  <c:v>36707</c:v>
                </c:pt>
                <c:pt idx="210">
                  <c:v>36738</c:v>
                </c:pt>
                <c:pt idx="211">
                  <c:v>36769</c:v>
                </c:pt>
                <c:pt idx="212">
                  <c:v>36798</c:v>
                </c:pt>
                <c:pt idx="213">
                  <c:v>36830</c:v>
                </c:pt>
                <c:pt idx="214">
                  <c:v>36860</c:v>
                </c:pt>
                <c:pt idx="215">
                  <c:v>36889</c:v>
                </c:pt>
                <c:pt idx="216">
                  <c:v>36922</c:v>
                </c:pt>
                <c:pt idx="217">
                  <c:v>36950</c:v>
                </c:pt>
                <c:pt idx="218">
                  <c:v>36980</c:v>
                </c:pt>
                <c:pt idx="219">
                  <c:v>37011</c:v>
                </c:pt>
                <c:pt idx="220">
                  <c:v>37042</c:v>
                </c:pt>
                <c:pt idx="221">
                  <c:v>37071</c:v>
                </c:pt>
                <c:pt idx="222">
                  <c:v>37103</c:v>
                </c:pt>
                <c:pt idx="223">
                  <c:v>37134</c:v>
                </c:pt>
                <c:pt idx="224">
                  <c:v>37162</c:v>
                </c:pt>
                <c:pt idx="225">
                  <c:v>37195</c:v>
                </c:pt>
                <c:pt idx="226">
                  <c:v>37225</c:v>
                </c:pt>
                <c:pt idx="227">
                  <c:v>37256</c:v>
                </c:pt>
                <c:pt idx="228">
                  <c:v>37287</c:v>
                </c:pt>
                <c:pt idx="229">
                  <c:v>37315</c:v>
                </c:pt>
                <c:pt idx="230">
                  <c:v>37344</c:v>
                </c:pt>
                <c:pt idx="231">
                  <c:v>37376</c:v>
                </c:pt>
                <c:pt idx="232">
                  <c:v>37407</c:v>
                </c:pt>
                <c:pt idx="233">
                  <c:v>37435</c:v>
                </c:pt>
                <c:pt idx="234">
                  <c:v>37468</c:v>
                </c:pt>
                <c:pt idx="235">
                  <c:v>37498</c:v>
                </c:pt>
                <c:pt idx="236">
                  <c:v>37529</c:v>
                </c:pt>
                <c:pt idx="237">
                  <c:v>37560</c:v>
                </c:pt>
                <c:pt idx="238">
                  <c:v>37589</c:v>
                </c:pt>
                <c:pt idx="239">
                  <c:v>37621</c:v>
                </c:pt>
                <c:pt idx="240">
                  <c:v>37652</c:v>
                </c:pt>
                <c:pt idx="241">
                  <c:v>37680</c:v>
                </c:pt>
                <c:pt idx="242">
                  <c:v>37711</c:v>
                </c:pt>
                <c:pt idx="243">
                  <c:v>37741</c:v>
                </c:pt>
                <c:pt idx="244">
                  <c:v>37771</c:v>
                </c:pt>
                <c:pt idx="245">
                  <c:v>37802</c:v>
                </c:pt>
                <c:pt idx="246">
                  <c:v>37833</c:v>
                </c:pt>
                <c:pt idx="247">
                  <c:v>37862</c:v>
                </c:pt>
                <c:pt idx="248">
                  <c:v>37894</c:v>
                </c:pt>
                <c:pt idx="249">
                  <c:v>37925</c:v>
                </c:pt>
                <c:pt idx="250">
                  <c:v>37953</c:v>
                </c:pt>
                <c:pt idx="251">
                  <c:v>37986</c:v>
                </c:pt>
                <c:pt idx="252">
                  <c:v>38016</c:v>
                </c:pt>
                <c:pt idx="253">
                  <c:v>38044</c:v>
                </c:pt>
                <c:pt idx="254">
                  <c:v>38077</c:v>
                </c:pt>
                <c:pt idx="255">
                  <c:v>38107</c:v>
                </c:pt>
                <c:pt idx="256">
                  <c:v>38138</c:v>
                </c:pt>
                <c:pt idx="257">
                  <c:v>38168</c:v>
                </c:pt>
                <c:pt idx="258">
                  <c:v>38198</c:v>
                </c:pt>
                <c:pt idx="259">
                  <c:v>38230</c:v>
                </c:pt>
                <c:pt idx="260">
                  <c:v>38260</c:v>
                </c:pt>
                <c:pt idx="261">
                  <c:v>38289</c:v>
                </c:pt>
                <c:pt idx="262">
                  <c:v>38321</c:v>
                </c:pt>
                <c:pt idx="263">
                  <c:v>38352</c:v>
                </c:pt>
                <c:pt idx="264">
                  <c:v>38383</c:v>
                </c:pt>
                <c:pt idx="265">
                  <c:v>38411</c:v>
                </c:pt>
                <c:pt idx="266">
                  <c:v>38442</c:v>
                </c:pt>
                <c:pt idx="267">
                  <c:v>38471</c:v>
                </c:pt>
                <c:pt idx="268">
                  <c:v>38503</c:v>
                </c:pt>
                <c:pt idx="269">
                  <c:v>38533</c:v>
                </c:pt>
                <c:pt idx="270">
                  <c:v>38562</c:v>
                </c:pt>
                <c:pt idx="271">
                  <c:v>38595</c:v>
                </c:pt>
                <c:pt idx="272">
                  <c:v>38625</c:v>
                </c:pt>
                <c:pt idx="273">
                  <c:v>38656</c:v>
                </c:pt>
                <c:pt idx="274">
                  <c:v>38686</c:v>
                </c:pt>
                <c:pt idx="275">
                  <c:v>38716</c:v>
                </c:pt>
                <c:pt idx="276">
                  <c:v>38748</c:v>
                </c:pt>
                <c:pt idx="277">
                  <c:v>38776</c:v>
                </c:pt>
                <c:pt idx="278">
                  <c:v>38807</c:v>
                </c:pt>
                <c:pt idx="279">
                  <c:v>38835</c:v>
                </c:pt>
                <c:pt idx="280">
                  <c:v>38868</c:v>
                </c:pt>
                <c:pt idx="281">
                  <c:v>38898</c:v>
                </c:pt>
                <c:pt idx="282">
                  <c:v>38929</c:v>
                </c:pt>
                <c:pt idx="283">
                  <c:v>38960</c:v>
                </c:pt>
                <c:pt idx="284">
                  <c:v>38989</c:v>
                </c:pt>
                <c:pt idx="285">
                  <c:v>39021</c:v>
                </c:pt>
                <c:pt idx="286">
                  <c:v>39051</c:v>
                </c:pt>
                <c:pt idx="287">
                  <c:v>39080</c:v>
                </c:pt>
                <c:pt idx="288">
                  <c:v>39113</c:v>
                </c:pt>
                <c:pt idx="289">
                  <c:v>39141</c:v>
                </c:pt>
                <c:pt idx="290">
                  <c:v>39171</c:v>
                </c:pt>
                <c:pt idx="291">
                  <c:v>39202</c:v>
                </c:pt>
                <c:pt idx="292">
                  <c:v>39233</c:v>
                </c:pt>
                <c:pt idx="293">
                  <c:v>39262</c:v>
                </c:pt>
                <c:pt idx="294">
                  <c:v>39294</c:v>
                </c:pt>
                <c:pt idx="295">
                  <c:v>39325</c:v>
                </c:pt>
                <c:pt idx="296">
                  <c:v>39353</c:v>
                </c:pt>
                <c:pt idx="297">
                  <c:v>39386</c:v>
                </c:pt>
                <c:pt idx="298">
                  <c:v>39416</c:v>
                </c:pt>
                <c:pt idx="299">
                  <c:v>39447</c:v>
                </c:pt>
                <c:pt idx="300">
                  <c:v>39478</c:v>
                </c:pt>
                <c:pt idx="301">
                  <c:v>39507</c:v>
                </c:pt>
                <c:pt idx="302">
                  <c:v>39538</c:v>
                </c:pt>
                <c:pt idx="303">
                  <c:v>39568</c:v>
                </c:pt>
                <c:pt idx="304">
                  <c:v>39598</c:v>
                </c:pt>
                <c:pt idx="305">
                  <c:v>39629</c:v>
                </c:pt>
                <c:pt idx="306">
                  <c:v>39660</c:v>
                </c:pt>
                <c:pt idx="307">
                  <c:v>39689</c:v>
                </c:pt>
                <c:pt idx="308">
                  <c:v>39721</c:v>
                </c:pt>
                <c:pt idx="309">
                  <c:v>39752</c:v>
                </c:pt>
                <c:pt idx="310">
                  <c:v>39780</c:v>
                </c:pt>
                <c:pt idx="311">
                  <c:v>39813</c:v>
                </c:pt>
                <c:pt idx="312">
                  <c:v>39843</c:v>
                </c:pt>
                <c:pt idx="313">
                  <c:v>39871</c:v>
                </c:pt>
                <c:pt idx="314">
                  <c:v>39903</c:v>
                </c:pt>
                <c:pt idx="315">
                  <c:v>39933</c:v>
                </c:pt>
                <c:pt idx="316">
                  <c:v>39962</c:v>
                </c:pt>
                <c:pt idx="317">
                  <c:v>39994</c:v>
                </c:pt>
                <c:pt idx="318">
                  <c:v>40025</c:v>
                </c:pt>
                <c:pt idx="319">
                  <c:v>40056</c:v>
                </c:pt>
                <c:pt idx="320">
                  <c:v>40086</c:v>
                </c:pt>
                <c:pt idx="321">
                  <c:v>40116</c:v>
                </c:pt>
                <c:pt idx="322">
                  <c:v>40147</c:v>
                </c:pt>
                <c:pt idx="323">
                  <c:v>40178</c:v>
                </c:pt>
                <c:pt idx="324">
                  <c:v>40207</c:v>
                </c:pt>
                <c:pt idx="325">
                  <c:v>40235</c:v>
                </c:pt>
                <c:pt idx="326">
                  <c:v>40268</c:v>
                </c:pt>
                <c:pt idx="327">
                  <c:v>40298</c:v>
                </c:pt>
                <c:pt idx="328">
                  <c:v>40329</c:v>
                </c:pt>
                <c:pt idx="329">
                  <c:v>40359</c:v>
                </c:pt>
                <c:pt idx="330">
                  <c:v>40389</c:v>
                </c:pt>
                <c:pt idx="331">
                  <c:v>40421</c:v>
                </c:pt>
                <c:pt idx="332">
                  <c:v>40451</c:v>
                </c:pt>
                <c:pt idx="333">
                  <c:v>40480</c:v>
                </c:pt>
                <c:pt idx="334">
                  <c:v>40512</c:v>
                </c:pt>
                <c:pt idx="335">
                  <c:v>40543</c:v>
                </c:pt>
                <c:pt idx="336">
                  <c:v>40574</c:v>
                </c:pt>
                <c:pt idx="337">
                  <c:v>40602</c:v>
                </c:pt>
                <c:pt idx="338">
                  <c:v>40633</c:v>
                </c:pt>
                <c:pt idx="339">
                  <c:v>40662</c:v>
                </c:pt>
                <c:pt idx="340">
                  <c:v>40694</c:v>
                </c:pt>
                <c:pt idx="341">
                  <c:v>40724</c:v>
                </c:pt>
                <c:pt idx="342">
                  <c:v>40753</c:v>
                </c:pt>
                <c:pt idx="343">
                  <c:v>40786</c:v>
                </c:pt>
                <c:pt idx="344">
                  <c:v>40816</c:v>
                </c:pt>
                <c:pt idx="345">
                  <c:v>40847</c:v>
                </c:pt>
                <c:pt idx="346">
                  <c:v>40877</c:v>
                </c:pt>
                <c:pt idx="347">
                  <c:v>40907</c:v>
                </c:pt>
                <c:pt idx="348">
                  <c:v>40939</c:v>
                </c:pt>
                <c:pt idx="349">
                  <c:v>40968</c:v>
                </c:pt>
                <c:pt idx="350">
                  <c:v>40998</c:v>
                </c:pt>
                <c:pt idx="351">
                  <c:v>41029</c:v>
                </c:pt>
                <c:pt idx="352">
                  <c:v>41060</c:v>
                </c:pt>
                <c:pt idx="353">
                  <c:v>41089</c:v>
                </c:pt>
                <c:pt idx="354">
                  <c:v>41121</c:v>
                </c:pt>
                <c:pt idx="355">
                  <c:v>41152</c:v>
                </c:pt>
                <c:pt idx="356">
                  <c:v>41180</c:v>
                </c:pt>
                <c:pt idx="357">
                  <c:v>41213</c:v>
                </c:pt>
                <c:pt idx="358">
                  <c:v>41243</c:v>
                </c:pt>
                <c:pt idx="359">
                  <c:v>41274</c:v>
                </c:pt>
                <c:pt idx="360">
                  <c:v>41305</c:v>
                </c:pt>
                <c:pt idx="361">
                  <c:v>41333</c:v>
                </c:pt>
                <c:pt idx="362">
                  <c:v>41362</c:v>
                </c:pt>
                <c:pt idx="363">
                  <c:v>41394</c:v>
                </c:pt>
                <c:pt idx="364">
                  <c:v>41425</c:v>
                </c:pt>
                <c:pt idx="365">
                  <c:v>41453</c:v>
                </c:pt>
                <c:pt idx="366">
                  <c:v>41486</c:v>
                </c:pt>
                <c:pt idx="367">
                  <c:v>41516</c:v>
                </c:pt>
                <c:pt idx="368">
                  <c:v>41547</c:v>
                </c:pt>
                <c:pt idx="369">
                  <c:v>41578</c:v>
                </c:pt>
                <c:pt idx="370">
                  <c:v>41607</c:v>
                </c:pt>
                <c:pt idx="371">
                  <c:v>41639</c:v>
                </c:pt>
                <c:pt idx="372">
                  <c:v>41670</c:v>
                </c:pt>
                <c:pt idx="373">
                  <c:v>41698</c:v>
                </c:pt>
                <c:pt idx="374">
                  <c:v>41729</c:v>
                </c:pt>
                <c:pt idx="375">
                  <c:v>41759</c:v>
                </c:pt>
                <c:pt idx="376">
                  <c:v>41789</c:v>
                </c:pt>
                <c:pt idx="377">
                  <c:v>41820</c:v>
                </c:pt>
                <c:pt idx="378">
                  <c:v>41851</c:v>
                </c:pt>
                <c:pt idx="379">
                  <c:v>41880</c:v>
                </c:pt>
                <c:pt idx="380">
                  <c:v>41912</c:v>
                </c:pt>
                <c:pt idx="381">
                  <c:v>41943</c:v>
                </c:pt>
                <c:pt idx="382">
                  <c:v>41971</c:v>
                </c:pt>
                <c:pt idx="383">
                  <c:v>42004</c:v>
                </c:pt>
                <c:pt idx="384">
                  <c:v>42034</c:v>
                </c:pt>
                <c:pt idx="385">
                  <c:v>42062</c:v>
                </c:pt>
                <c:pt idx="386">
                  <c:v>42094</c:v>
                </c:pt>
                <c:pt idx="387">
                  <c:v>42124</c:v>
                </c:pt>
                <c:pt idx="388">
                  <c:v>42153</c:v>
                </c:pt>
                <c:pt idx="389">
                  <c:v>42185</c:v>
                </c:pt>
                <c:pt idx="390">
                  <c:v>42216</c:v>
                </c:pt>
                <c:pt idx="391">
                  <c:v>42247</c:v>
                </c:pt>
                <c:pt idx="392">
                  <c:v>42277</c:v>
                </c:pt>
                <c:pt idx="393">
                  <c:v>42307</c:v>
                </c:pt>
                <c:pt idx="394">
                  <c:v>42338</c:v>
                </c:pt>
                <c:pt idx="395">
                  <c:v>42369</c:v>
                </c:pt>
                <c:pt idx="396">
                  <c:v>42398</c:v>
                </c:pt>
                <c:pt idx="397">
                  <c:v>42429</c:v>
                </c:pt>
                <c:pt idx="398">
                  <c:v>42460</c:v>
                </c:pt>
                <c:pt idx="399">
                  <c:v>42489</c:v>
                </c:pt>
                <c:pt idx="400">
                  <c:v>42521</c:v>
                </c:pt>
                <c:pt idx="401">
                  <c:v>42551</c:v>
                </c:pt>
                <c:pt idx="402">
                  <c:v>42580</c:v>
                </c:pt>
                <c:pt idx="403">
                  <c:v>42613</c:v>
                </c:pt>
                <c:pt idx="404">
                  <c:v>42643</c:v>
                </c:pt>
                <c:pt idx="405">
                  <c:v>42674</c:v>
                </c:pt>
                <c:pt idx="406">
                  <c:v>42704</c:v>
                </c:pt>
                <c:pt idx="407">
                  <c:v>42734</c:v>
                </c:pt>
                <c:pt idx="408">
                  <c:v>42766</c:v>
                </c:pt>
                <c:pt idx="409">
                  <c:v>42794</c:v>
                </c:pt>
                <c:pt idx="410">
                  <c:v>42825</c:v>
                </c:pt>
                <c:pt idx="411">
                  <c:v>42853</c:v>
                </c:pt>
                <c:pt idx="412">
                  <c:v>42886</c:v>
                </c:pt>
                <c:pt idx="413">
                  <c:v>42916</c:v>
                </c:pt>
                <c:pt idx="414">
                  <c:v>42947</c:v>
                </c:pt>
                <c:pt idx="415">
                  <c:v>42978</c:v>
                </c:pt>
                <c:pt idx="416">
                  <c:v>43007</c:v>
                </c:pt>
                <c:pt idx="417">
                  <c:v>43039</c:v>
                </c:pt>
                <c:pt idx="418">
                  <c:v>43069</c:v>
                </c:pt>
                <c:pt idx="419">
                  <c:v>43098</c:v>
                </c:pt>
                <c:pt idx="420">
                  <c:v>43131</c:v>
                </c:pt>
                <c:pt idx="421">
                  <c:v>43159</c:v>
                </c:pt>
                <c:pt idx="422">
                  <c:v>43189</c:v>
                </c:pt>
                <c:pt idx="423">
                  <c:v>43220</c:v>
                </c:pt>
                <c:pt idx="424">
                  <c:v>43251</c:v>
                </c:pt>
                <c:pt idx="425">
                  <c:v>43280</c:v>
                </c:pt>
                <c:pt idx="426">
                  <c:v>43312</c:v>
                </c:pt>
                <c:pt idx="427">
                  <c:v>43343</c:v>
                </c:pt>
                <c:pt idx="428">
                  <c:v>43371</c:v>
                </c:pt>
                <c:pt idx="429">
                  <c:v>43404</c:v>
                </c:pt>
                <c:pt idx="430">
                  <c:v>43434</c:v>
                </c:pt>
                <c:pt idx="431">
                  <c:v>43465</c:v>
                </c:pt>
                <c:pt idx="432">
                  <c:v>43496</c:v>
                </c:pt>
                <c:pt idx="433">
                  <c:v>43524</c:v>
                </c:pt>
                <c:pt idx="434">
                  <c:v>43553</c:v>
                </c:pt>
                <c:pt idx="435">
                  <c:v>43585</c:v>
                </c:pt>
                <c:pt idx="436">
                  <c:v>43616</c:v>
                </c:pt>
                <c:pt idx="437">
                  <c:v>43644</c:v>
                </c:pt>
                <c:pt idx="438">
                  <c:v>43677</c:v>
                </c:pt>
                <c:pt idx="439">
                  <c:v>43707</c:v>
                </c:pt>
                <c:pt idx="440">
                  <c:v>43738</c:v>
                </c:pt>
                <c:pt idx="441">
                  <c:v>43769</c:v>
                </c:pt>
                <c:pt idx="442">
                  <c:v>43798</c:v>
                </c:pt>
                <c:pt idx="443">
                  <c:v>43830</c:v>
                </c:pt>
                <c:pt idx="444">
                  <c:v>43861</c:v>
                </c:pt>
                <c:pt idx="445">
                  <c:v>43889</c:v>
                </c:pt>
                <c:pt idx="446">
                  <c:v>43921</c:v>
                </c:pt>
                <c:pt idx="447">
                  <c:v>43951</c:v>
                </c:pt>
                <c:pt idx="448">
                  <c:v>43980</c:v>
                </c:pt>
                <c:pt idx="449">
                  <c:v>44012</c:v>
                </c:pt>
                <c:pt idx="450">
                  <c:v>44043</c:v>
                </c:pt>
                <c:pt idx="451">
                  <c:v>44074</c:v>
                </c:pt>
                <c:pt idx="452">
                  <c:v>44104</c:v>
                </c:pt>
                <c:pt idx="453">
                  <c:v>44134</c:v>
                </c:pt>
                <c:pt idx="454">
                  <c:v>44165</c:v>
                </c:pt>
                <c:pt idx="455">
                  <c:v>44196</c:v>
                </c:pt>
                <c:pt idx="456">
                  <c:v>44225</c:v>
                </c:pt>
                <c:pt idx="457">
                  <c:v>44253</c:v>
                </c:pt>
                <c:pt idx="458">
                  <c:v>44286</c:v>
                </c:pt>
                <c:pt idx="459">
                  <c:v>44316</c:v>
                </c:pt>
                <c:pt idx="460">
                  <c:v>44347</c:v>
                </c:pt>
                <c:pt idx="461">
                  <c:v>44377</c:v>
                </c:pt>
                <c:pt idx="462">
                  <c:v>44407</c:v>
                </c:pt>
                <c:pt idx="463">
                  <c:v>44439</c:v>
                </c:pt>
                <c:pt idx="464">
                  <c:v>44469</c:v>
                </c:pt>
                <c:pt idx="465">
                  <c:v>44498</c:v>
                </c:pt>
                <c:pt idx="466">
                  <c:v>44530</c:v>
                </c:pt>
                <c:pt idx="467">
                  <c:v>44561</c:v>
                </c:pt>
                <c:pt idx="468">
                  <c:v>44592</c:v>
                </c:pt>
                <c:pt idx="469">
                  <c:v>44620</c:v>
                </c:pt>
                <c:pt idx="470">
                  <c:v>44651</c:v>
                </c:pt>
                <c:pt idx="471">
                  <c:v>44680</c:v>
                </c:pt>
                <c:pt idx="472">
                  <c:v>44712</c:v>
                </c:pt>
                <c:pt idx="473">
                  <c:v>44742</c:v>
                </c:pt>
                <c:pt idx="474">
                  <c:v>44771</c:v>
                </c:pt>
                <c:pt idx="475">
                  <c:v>44804</c:v>
                </c:pt>
                <c:pt idx="476">
                  <c:v>44834</c:v>
                </c:pt>
                <c:pt idx="477">
                  <c:v>44865</c:v>
                </c:pt>
                <c:pt idx="478">
                  <c:v>44895</c:v>
                </c:pt>
                <c:pt idx="479">
                  <c:v>44925</c:v>
                </c:pt>
                <c:pt idx="480">
                  <c:v>44957</c:v>
                </c:pt>
                <c:pt idx="481">
                  <c:v>44985</c:v>
                </c:pt>
                <c:pt idx="482">
                  <c:v>45016</c:v>
                </c:pt>
                <c:pt idx="483">
                  <c:v>45044</c:v>
                </c:pt>
                <c:pt idx="484">
                  <c:v>45077</c:v>
                </c:pt>
                <c:pt idx="485">
                  <c:v>45107</c:v>
                </c:pt>
                <c:pt idx="486">
                  <c:v>45138</c:v>
                </c:pt>
                <c:pt idx="487">
                  <c:v>45169</c:v>
                </c:pt>
                <c:pt idx="488">
                  <c:v>45198</c:v>
                </c:pt>
                <c:pt idx="489">
                  <c:v>45230</c:v>
                </c:pt>
                <c:pt idx="490">
                  <c:v>45260</c:v>
                </c:pt>
                <c:pt idx="491">
                  <c:v>45289</c:v>
                </c:pt>
                <c:pt idx="492">
                  <c:v>45322</c:v>
                </c:pt>
                <c:pt idx="493">
                  <c:v>45351</c:v>
                </c:pt>
                <c:pt idx="494">
                  <c:v>45380</c:v>
                </c:pt>
                <c:pt idx="495">
                  <c:v>45412</c:v>
                </c:pt>
                <c:pt idx="496">
                  <c:v>45443</c:v>
                </c:pt>
                <c:pt idx="497">
                  <c:v>45471</c:v>
                </c:pt>
                <c:pt idx="498">
                  <c:v>45504</c:v>
                </c:pt>
                <c:pt idx="499">
                  <c:v>45534</c:v>
                </c:pt>
                <c:pt idx="500">
                  <c:v>45565</c:v>
                </c:pt>
                <c:pt idx="501">
                  <c:v>45596</c:v>
                </c:pt>
                <c:pt idx="502">
                  <c:v>45625</c:v>
                </c:pt>
                <c:pt idx="503">
                  <c:v>45657</c:v>
                </c:pt>
                <c:pt idx="504">
                  <c:v>45688</c:v>
                </c:pt>
                <c:pt idx="505">
                  <c:v>45716</c:v>
                </c:pt>
                <c:pt idx="506">
                  <c:v>45747</c:v>
                </c:pt>
              </c:numCache>
            </c:numRef>
          </c:cat>
          <c:val>
            <c:numRef>
              <c:f>'Raw Data'!$H$126:$H$700</c:f>
              <c:numCache>
                <c:formatCode>0%</c:formatCode>
                <c:ptCount val="575"/>
                <c:pt idx="0">
                  <c:v>0.12140871177015766</c:v>
                </c:pt>
                <c:pt idx="1">
                  <c:v>0.12314814814814823</c:v>
                </c:pt>
                <c:pt idx="2">
                  <c:v>0.12199630314232901</c:v>
                </c:pt>
                <c:pt idx="3">
                  <c:v>0.18316373728029589</c:v>
                </c:pt>
                <c:pt idx="4">
                  <c:v>0.20425138632162643</c:v>
                </c:pt>
                <c:pt idx="5">
                  <c:v>0.17493237150586105</c:v>
                </c:pt>
                <c:pt idx="6">
                  <c:v>0.21731289449954927</c:v>
                </c:pt>
                <c:pt idx="7">
                  <c:v>0.21492805755395694</c:v>
                </c:pt>
                <c:pt idx="8">
                  <c:v>0.17991266375545867</c:v>
                </c:pt>
                <c:pt idx="9">
                  <c:v>0.18902439024390238</c:v>
                </c:pt>
                <c:pt idx="10">
                  <c:v>0.18166089965397925</c:v>
                </c:pt>
                <c:pt idx="11">
                  <c:v>0.17327586206896561</c:v>
                </c:pt>
                <c:pt idx="12">
                  <c:v>0.12561983471074378</c:v>
                </c:pt>
                <c:pt idx="13">
                  <c:v>0.11624072547403119</c:v>
                </c:pt>
                <c:pt idx="14">
                  <c:v>0.11449752883031294</c:v>
                </c:pt>
                <c:pt idx="15">
                  <c:v>3.8311180609851503E-2</c:v>
                </c:pt>
                <c:pt idx="16">
                  <c:v>1.0744435917114492E-2</c:v>
                </c:pt>
                <c:pt idx="17">
                  <c:v>1.1511895625479607E-2</c:v>
                </c:pt>
                <c:pt idx="18">
                  <c:v>-3.4074074074074145E-2</c:v>
                </c:pt>
                <c:pt idx="19">
                  <c:v>-3.5529237601776509E-2</c:v>
                </c:pt>
                <c:pt idx="20">
                  <c:v>-4.9592894152479694E-2</c:v>
                </c:pt>
                <c:pt idx="21">
                  <c:v>-5.9340659340659352E-2</c:v>
                </c:pt>
                <c:pt idx="22">
                  <c:v>-6.0761346998535859E-2</c:v>
                </c:pt>
                <c:pt idx="23">
                  <c:v>-6.3923585598824384E-2</c:v>
                </c:pt>
                <c:pt idx="24">
                  <c:v>-6.2408223201174673E-2</c:v>
                </c:pt>
                <c:pt idx="25">
                  <c:v>-5.0221565731166873E-2</c:v>
                </c:pt>
                <c:pt idx="26">
                  <c:v>-3.3998521803399795E-2</c:v>
                </c:pt>
                <c:pt idx="27">
                  <c:v>-1.6566265060240837E-2</c:v>
                </c:pt>
                <c:pt idx="28">
                  <c:v>-6.8337129840546629E-3</c:v>
                </c:pt>
                <c:pt idx="29">
                  <c:v>2.1244309559939278E-2</c:v>
                </c:pt>
                <c:pt idx="30">
                  <c:v>3.2975460122699474E-2</c:v>
                </c:pt>
                <c:pt idx="31">
                  <c:v>3.4535686876439042E-2</c:v>
                </c:pt>
                <c:pt idx="32">
                  <c:v>6.3862928348909609E-2</c:v>
                </c:pt>
                <c:pt idx="33">
                  <c:v>6.3862928348909609E-2</c:v>
                </c:pt>
                <c:pt idx="34">
                  <c:v>6.4692127825409118E-2</c:v>
                </c:pt>
                <c:pt idx="35">
                  <c:v>8.5557299843014079E-2</c:v>
                </c:pt>
                <c:pt idx="36">
                  <c:v>8.2223962411902995E-2</c:v>
                </c:pt>
                <c:pt idx="37">
                  <c:v>8.0870917573872658E-2</c:v>
                </c:pt>
                <c:pt idx="38">
                  <c:v>8.4927314460596648E-2</c:v>
                </c:pt>
                <c:pt idx="39">
                  <c:v>8.8055130168453344E-2</c:v>
                </c:pt>
                <c:pt idx="40">
                  <c:v>8.7920489296636095E-2</c:v>
                </c:pt>
                <c:pt idx="41">
                  <c:v>4.9777117384844027E-2</c:v>
                </c:pt>
                <c:pt idx="42">
                  <c:v>5.0482553823311127E-2</c:v>
                </c:pt>
                <c:pt idx="43">
                  <c:v>5.1928783382789279E-2</c:v>
                </c:pt>
                <c:pt idx="44">
                  <c:v>9.07759882869692E-2</c:v>
                </c:pt>
                <c:pt idx="45">
                  <c:v>9.1508052708638266E-2</c:v>
                </c:pt>
                <c:pt idx="46">
                  <c:v>9.4436310395314749E-2</c:v>
                </c:pt>
                <c:pt idx="47">
                  <c:v>0.1417208966015906</c:v>
                </c:pt>
                <c:pt idx="48">
                  <c:v>0.14327062228654119</c:v>
                </c:pt>
                <c:pt idx="49">
                  <c:v>0.13956834532374107</c:v>
                </c:pt>
                <c:pt idx="50">
                  <c:v>0.16502115655853311</c:v>
                </c:pt>
                <c:pt idx="51">
                  <c:v>0.16256157635467972</c:v>
                </c:pt>
                <c:pt idx="52">
                  <c:v>0.16654954321855242</c:v>
                </c:pt>
                <c:pt idx="53">
                  <c:v>0.25406935598018388</c:v>
                </c:pt>
                <c:pt idx="54">
                  <c:v>0.25017667844522973</c:v>
                </c:pt>
                <c:pt idx="55">
                  <c:v>0.2510578279266571</c:v>
                </c:pt>
                <c:pt idx="56">
                  <c:v>0.22416107382550332</c:v>
                </c:pt>
                <c:pt idx="57">
                  <c:v>0.22535211267605626</c:v>
                </c:pt>
                <c:pt idx="58">
                  <c:v>0.23143812709030098</c:v>
                </c:pt>
                <c:pt idx="59">
                  <c:v>0.15072830905636492</c:v>
                </c:pt>
                <c:pt idx="60">
                  <c:v>0.17594936708860742</c:v>
                </c:pt>
                <c:pt idx="61">
                  <c:v>0.17803030303030298</c:v>
                </c:pt>
                <c:pt idx="62">
                  <c:v>0.12953995157385001</c:v>
                </c:pt>
                <c:pt idx="63">
                  <c:v>0.16404358353510906</c:v>
                </c:pt>
                <c:pt idx="64">
                  <c:v>0.1686746987951806</c:v>
                </c:pt>
                <c:pt idx="65">
                  <c:v>9.424379232505653E-2</c:v>
                </c:pt>
                <c:pt idx="66">
                  <c:v>0.11531938948558507</c:v>
                </c:pt>
                <c:pt idx="67">
                  <c:v>0.11386696730552437</c:v>
                </c:pt>
                <c:pt idx="68">
                  <c:v>8.0043859649122862E-2</c:v>
                </c:pt>
                <c:pt idx="69">
                  <c:v>6.075533661740562E-2</c:v>
                </c:pt>
                <c:pt idx="70">
                  <c:v>4.9972840847365418E-2</c:v>
                </c:pt>
                <c:pt idx="71">
                  <c:v>6.2190423775454029E-2</c:v>
                </c:pt>
                <c:pt idx="72">
                  <c:v>2.2604951560818209E-2</c:v>
                </c:pt>
                <c:pt idx="73">
                  <c:v>3.2690246516613009E-2</c:v>
                </c:pt>
                <c:pt idx="74">
                  <c:v>3.4833869239013771E-2</c:v>
                </c:pt>
                <c:pt idx="75">
                  <c:v>-1.14404576183047E-2</c:v>
                </c:pt>
                <c:pt idx="76">
                  <c:v>-3.5051546391752564E-2</c:v>
                </c:pt>
                <c:pt idx="77">
                  <c:v>-3.4038164002062943E-2</c:v>
                </c:pt>
                <c:pt idx="78">
                  <c:v>-4.3081601621895671E-2</c:v>
                </c:pt>
                <c:pt idx="79">
                  <c:v>-3.8967611336032548E-2</c:v>
                </c:pt>
                <c:pt idx="80">
                  <c:v>-3.6040609137055868E-2</c:v>
                </c:pt>
                <c:pt idx="81">
                  <c:v>1.0319917440659854E-3</c:v>
                </c:pt>
                <c:pt idx="82">
                  <c:v>-5.1733057423692941E-3</c:v>
                </c:pt>
                <c:pt idx="83">
                  <c:v>-3.1088082901555847E-3</c:v>
                </c:pt>
                <c:pt idx="84">
                  <c:v>3.4736842105263177E-2</c:v>
                </c:pt>
                <c:pt idx="85">
                  <c:v>1.5049299429164442E-2</c:v>
                </c:pt>
                <c:pt idx="86">
                  <c:v>1.2946659761781554E-2</c:v>
                </c:pt>
                <c:pt idx="87">
                  <c:v>3.5244608100999386E-2</c:v>
                </c:pt>
                <c:pt idx="88">
                  <c:v>5.0213675213675257E-2</c:v>
                </c:pt>
                <c:pt idx="89">
                  <c:v>5.125467164975972E-2</c:v>
                </c:pt>
                <c:pt idx="90">
                  <c:v>4.0254237288135597E-2</c:v>
                </c:pt>
                <c:pt idx="91">
                  <c:v>3.2648762506582552E-2</c:v>
                </c:pt>
                <c:pt idx="92">
                  <c:v>3.4755134281200695E-2</c:v>
                </c:pt>
                <c:pt idx="93">
                  <c:v>-9.2783505154638846E-3</c:v>
                </c:pt>
                <c:pt idx="94">
                  <c:v>-3.1201248049921304E-3</c:v>
                </c:pt>
                <c:pt idx="95">
                  <c:v>-5.197505197505059E-3</c:v>
                </c:pt>
                <c:pt idx="96">
                  <c:v>-0.10020345879959303</c:v>
                </c:pt>
                <c:pt idx="97">
                  <c:v>-8.8957055214723857E-2</c:v>
                </c:pt>
                <c:pt idx="98">
                  <c:v>-8.6400817995909929E-2</c:v>
                </c:pt>
                <c:pt idx="99">
                  <c:v>-7.4695121951219412E-2</c:v>
                </c:pt>
                <c:pt idx="100">
                  <c:v>-7.2736520854526976E-2</c:v>
                </c:pt>
                <c:pt idx="101">
                  <c:v>-7.4657186389030072E-2</c:v>
                </c:pt>
                <c:pt idx="102">
                  <c:v>-4.7861507128309611E-2</c:v>
                </c:pt>
                <c:pt idx="103">
                  <c:v>-4.181540030596631E-2</c:v>
                </c:pt>
                <c:pt idx="104">
                  <c:v>-4.5292620865139854E-2</c:v>
                </c:pt>
                <c:pt idx="105">
                  <c:v>2.6014568158168494E-2</c:v>
                </c:pt>
                <c:pt idx="106">
                  <c:v>2.712571726656221E-2</c:v>
                </c:pt>
                <c:pt idx="107">
                  <c:v>3.0303030303030276E-2</c:v>
                </c:pt>
                <c:pt idx="108">
                  <c:v>0.15036743923120399</c:v>
                </c:pt>
                <c:pt idx="109">
                  <c:v>0.12401795735129073</c:v>
                </c:pt>
                <c:pt idx="110">
                  <c:v>0.13262451035254608</c:v>
                </c:pt>
                <c:pt idx="111">
                  <c:v>0.12630422844590883</c:v>
                </c:pt>
                <c:pt idx="112">
                  <c:v>0.12781130005485464</c:v>
                </c:pt>
                <c:pt idx="113">
                  <c:v>0.12568605927552157</c:v>
                </c:pt>
                <c:pt idx="114">
                  <c:v>8.3422459893048195E-2</c:v>
                </c:pt>
                <c:pt idx="115">
                  <c:v>8.1426290580095761E-2</c:v>
                </c:pt>
                <c:pt idx="116">
                  <c:v>8.3155650319829411E-2</c:v>
                </c:pt>
                <c:pt idx="117">
                  <c:v>3.8539553752535483E-2</c:v>
                </c:pt>
                <c:pt idx="118">
                  <c:v>4.1645505332656096E-2</c:v>
                </c:pt>
                <c:pt idx="119">
                  <c:v>3.6511156186612714E-2</c:v>
                </c:pt>
                <c:pt idx="120">
                  <c:v>9.3366093366091807E-3</c:v>
                </c:pt>
                <c:pt idx="121">
                  <c:v>5.04243634548176E-2</c:v>
                </c:pt>
                <c:pt idx="122">
                  <c:v>3.9031620553359847E-2</c:v>
                </c:pt>
                <c:pt idx="123">
                  <c:v>5.9483178937103753E-2</c:v>
                </c:pt>
                <c:pt idx="124">
                  <c:v>6.0797665369649811E-2</c:v>
                </c:pt>
                <c:pt idx="125">
                  <c:v>6.4846416382252414E-2</c:v>
                </c:pt>
                <c:pt idx="126">
                  <c:v>0.11944718657453102</c:v>
                </c:pt>
                <c:pt idx="127">
                  <c:v>0.15600393700787385</c:v>
                </c:pt>
                <c:pt idx="128">
                  <c:v>0.15452755905511806</c:v>
                </c:pt>
                <c:pt idx="129">
                  <c:v>0.21044921875</c:v>
                </c:pt>
                <c:pt idx="130">
                  <c:v>0.21843003412969275</c:v>
                </c:pt>
                <c:pt idx="131">
                  <c:v>0.22260273972602729</c:v>
                </c:pt>
                <c:pt idx="132">
                  <c:v>0.2843232716650439</c:v>
                </c:pt>
                <c:pt idx="133">
                  <c:v>0.2671102661596958</c:v>
                </c:pt>
                <c:pt idx="134">
                  <c:v>0.26866381359961955</c:v>
                </c:pt>
                <c:pt idx="135">
                  <c:v>0.28992176714219986</c:v>
                </c:pt>
                <c:pt idx="136">
                  <c:v>0.2998624484181569</c:v>
                </c:pt>
                <c:pt idx="137">
                  <c:v>0.29899267399267404</c:v>
                </c:pt>
                <c:pt idx="138">
                  <c:v>0.30114638447971798</c:v>
                </c:pt>
                <c:pt idx="139">
                  <c:v>0.26990208599403998</c:v>
                </c:pt>
                <c:pt idx="140">
                  <c:v>0.27280477408354642</c:v>
                </c:pt>
                <c:pt idx="141">
                  <c:v>0.22872125857200487</c:v>
                </c:pt>
                <c:pt idx="142">
                  <c:v>0.21488595438175273</c:v>
                </c:pt>
                <c:pt idx="143">
                  <c:v>0.21568627450980404</c:v>
                </c:pt>
                <c:pt idx="144">
                  <c:v>0.13949962092494306</c:v>
                </c:pt>
                <c:pt idx="145">
                  <c:v>0.14441110277569402</c:v>
                </c:pt>
                <c:pt idx="146">
                  <c:v>0.14542728635682156</c:v>
                </c:pt>
                <c:pt idx="147">
                  <c:v>0.10881198715661777</c:v>
                </c:pt>
                <c:pt idx="148">
                  <c:v>9.8765432098765427E-2</c:v>
                </c:pt>
                <c:pt idx="149">
                  <c:v>9.869580542826939E-2</c:v>
                </c:pt>
                <c:pt idx="150">
                  <c:v>7.4889867841409608E-2</c:v>
                </c:pt>
                <c:pt idx="151">
                  <c:v>6.7717063359034713E-2</c:v>
                </c:pt>
                <c:pt idx="152">
                  <c:v>6.5974547890154112E-2</c:v>
                </c:pt>
                <c:pt idx="153">
                  <c:v>6.5003282994090528E-2</c:v>
                </c:pt>
                <c:pt idx="154">
                  <c:v>7.1146245059288571E-2</c:v>
                </c:pt>
                <c:pt idx="155">
                  <c:v>6.9782751810401722E-2</c:v>
                </c:pt>
                <c:pt idx="156">
                  <c:v>0.13506320691949436</c:v>
                </c:pt>
                <c:pt idx="157">
                  <c:v>0.12553261225827606</c:v>
                </c:pt>
                <c:pt idx="158">
                  <c:v>0.12532722513089012</c:v>
                </c:pt>
                <c:pt idx="159">
                  <c:v>0.14768339768339778</c:v>
                </c:pt>
                <c:pt idx="160">
                  <c:v>0.15601926163723912</c:v>
                </c:pt>
                <c:pt idx="161">
                  <c:v>0.15367340391401996</c:v>
                </c:pt>
                <c:pt idx="162">
                  <c:v>0.14943253467843642</c:v>
                </c:pt>
                <c:pt idx="163">
                  <c:v>0.14285714285714279</c:v>
                </c:pt>
                <c:pt idx="164">
                  <c:v>0.14514608859566458</c:v>
                </c:pt>
                <c:pt idx="165">
                  <c:v>0.14549938347718872</c:v>
                </c:pt>
                <c:pt idx="166">
                  <c:v>0.14760147601476015</c:v>
                </c:pt>
                <c:pt idx="167">
                  <c:v>0.14738461538461545</c:v>
                </c:pt>
                <c:pt idx="168">
                  <c:v>9.6131301289566373E-2</c:v>
                </c:pt>
                <c:pt idx="169">
                  <c:v>8.9691322073383706E-2</c:v>
                </c:pt>
                <c:pt idx="170">
                  <c:v>8.2872928176795702E-2</c:v>
                </c:pt>
                <c:pt idx="171">
                  <c:v>5.1303616484440706E-2</c:v>
                </c:pt>
                <c:pt idx="172">
                  <c:v>4.5265204109969481E-2</c:v>
                </c:pt>
                <c:pt idx="173">
                  <c:v>5.0333704115684164E-2</c:v>
                </c:pt>
                <c:pt idx="174">
                  <c:v>5.512890839275908E-2</c:v>
                </c:pt>
                <c:pt idx="175">
                  <c:v>6.3736263736263732E-2</c:v>
                </c:pt>
                <c:pt idx="176">
                  <c:v>5.8710562414266088E-2</c:v>
                </c:pt>
                <c:pt idx="177">
                  <c:v>7.8040904198062533E-2</c:v>
                </c:pt>
                <c:pt idx="178">
                  <c:v>7.9581993569131759E-2</c:v>
                </c:pt>
                <c:pt idx="179">
                  <c:v>8.1523196567444334E-2</c:v>
                </c:pt>
                <c:pt idx="180">
                  <c:v>7.192513368983966E-2</c:v>
                </c:pt>
                <c:pt idx="181">
                  <c:v>6.9748797434526999E-2</c:v>
                </c:pt>
                <c:pt idx="182">
                  <c:v>7.1965628356605693E-2</c:v>
                </c:pt>
                <c:pt idx="183">
                  <c:v>5.5199999999999916E-2</c:v>
                </c:pt>
                <c:pt idx="184">
                  <c:v>4.5164718384697267E-2</c:v>
                </c:pt>
                <c:pt idx="185">
                  <c:v>5.0569234842467559E-2</c:v>
                </c:pt>
                <c:pt idx="186">
                  <c:v>6.5505588770470524E-2</c:v>
                </c:pt>
                <c:pt idx="187">
                  <c:v>5.5526859504132275E-2</c:v>
                </c:pt>
                <c:pt idx="188">
                  <c:v>6.1933143301373228E-2</c:v>
                </c:pt>
                <c:pt idx="189">
                  <c:v>6.7898152770843767E-2</c:v>
                </c:pt>
                <c:pt idx="190">
                  <c:v>7.5949367088607556E-2</c:v>
                </c:pt>
                <c:pt idx="191">
                  <c:v>7.8353582940738908E-2</c:v>
                </c:pt>
                <c:pt idx="192">
                  <c:v>0.11449239211773499</c:v>
                </c:pt>
                <c:pt idx="193">
                  <c:v>0.13889582812890344</c:v>
                </c:pt>
                <c:pt idx="194">
                  <c:v>0.13952905811623251</c:v>
                </c:pt>
                <c:pt idx="195">
                  <c:v>0.1111953500126357</c:v>
                </c:pt>
                <c:pt idx="196">
                  <c:v>0.12150482968988285</c:v>
                </c:pt>
                <c:pt idx="197">
                  <c:v>0.11113911290322598</c:v>
                </c:pt>
                <c:pt idx="198">
                  <c:v>7.6848011710173081E-2</c:v>
                </c:pt>
                <c:pt idx="199">
                  <c:v>0.1008074382187425</c:v>
                </c:pt>
                <c:pt idx="200">
                  <c:v>0.10736944851146912</c:v>
                </c:pt>
                <c:pt idx="201">
                  <c:v>8.3683964469378092E-2</c:v>
                </c:pt>
                <c:pt idx="202">
                  <c:v>8.2814302191464684E-2</c:v>
                </c:pt>
                <c:pt idx="203">
                  <c:v>7.6339388365141314E-2</c:v>
                </c:pt>
                <c:pt idx="204">
                  <c:v>4.1853178155774273E-2</c:v>
                </c:pt>
                <c:pt idx="205">
                  <c:v>3.1366527747312967E-2</c:v>
                </c:pt>
                <c:pt idx="206">
                  <c:v>2.2862167509342779E-2</c:v>
                </c:pt>
                <c:pt idx="207">
                  <c:v>6.6408915169433813E-2</c:v>
                </c:pt>
                <c:pt idx="208">
                  <c:v>4.9637352674524182E-2</c:v>
                </c:pt>
                <c:pt idx="209">
                  <c:v>3.9237922431390349E-2</c:v>
                </c:pt>
                <c:pt idx="210">
                  <c:v>-1.7671046669687329E-2</c:v>
                </c:pt>
                <c:pt idx="211">
                  <c:v>-7.6239164258724124E-2</c:v>
                </c:pt>
                <c:pt idx="212">
                  <c:v>-9.7620096959012748E-2</c:v>
                </c:pt>
                <c:pt idx="213">
                  <c:v>-0.12316652286453844</c:v>
                </c:pt>
                <c:pt idx="214">
                  <c:v>-0.18491691521090758</c:v>
                </c:pt>
                <c:pt idx="215">
                  <c:v>-0.18329416791283926</c:v>
                </c:pt>
                <c:pt idx="216">
                  <c:v>-0.20343716433941994</c:v>
                </c:pt>
                <c:pt idx="217">
                  <c:v>-0.24776690769885168</c:v>
                </c:pt>
                <c:pt idx="218">
                  <c:v>-0.23726627981947124</c:v>
                </c:pt>
                <c:pt idx="219">
                  <c:v>-0.22947323523139262</c:v>
                </c:pt>
                <c:pt idx="220">
                  <c:v>-0.22824443964586483</c:v>
                </c:pt>
                <c:pt idx="221">
                  <c:v>-0.22130074203404626</c:v>
                </c:pt>
                <c:pt idx="222">
                  <c:v>-0.15198339483394829</c:v>
                </c:pt>
                <c:pt idx="223">
                  <c:v>-0.11212704523580375</c:v>
                </c:pt>
                <c:pt idx="224">
                  <c:v>-9.719169719169729E-2</c:v>
                </c:pt>
                <c:pt idx="225">
                  <c:v>-6.519065190651907E-2</c:v>
                </c:pt>
                <c:pt idx="226">
                  <c:v>1.5420805018296013E-2</c:v>
                </c:pt>
                <c:pt idx="227">
                  <c:v>2.7726916034527926E-2</c:v>
                </c:pt>
                <c:pt idx="228">
                  <c:v>6.3646170442287042E-2</c:v>
                </c:pt>
                <c:pt idx="229">
                  <c:v>0.14249363867684472</c:v>
                </c:pt>
                <c:pt idx="230">
                  <c:v>0.13581290504367427</c:v>
                </c:pt>
                <c:pt idx="231">
                  <c:v>0.11320232493772475</c:v>
                </c:pt>
                <c:pt idx="232">
                  <c:v>0.18606603245663123</c:v>
                </c:pt>
                <c:pt idx="233">
                  <c:v>0.18890134529147984</c:v>
                </c:pt>
                <c:pt idx="234">
                  <c:v>0.15420179494152819</c:v>
                </c:pt>
                <c:pt idx="235">
                  <c:v>0.17886178861788626</c:v>
                </c:pt>
                <c:pt idx="236">
                  <c:v>0.17987557479037064</c:v>
                </c:pt>
                <c:pt idx="237">
                  <c:v>0.16315789473684217</c:v>
                </c:pt>
                <c:pt idx="238">
                  <c:v>0.16190476190476177</c:v>
                </c:pt>
                <c:pt idx="239">
                  <c:v>0.15856452023415635</c:v>
                </c:pt>
                <c:pt idx="240">
                  <c:v>0.18990872210953347</c:v>
                </c:pt>
                <c:pt idx="241">
                  <c:v>0.20836426627072502</c:v>
                </c:pt>
                <c:pt idx="242">
                  <c:v>0.21260233192756139</c:v>
                </c:pt>
                <c:pt idx="243">
                  <c:v>0.24365987071108908</c:v>
                </c:pt>
                <c:pt idx="244">
                  <c:v>0.23024298183533842</c:v>
                </c:pt>
                <c:pt idx="245">
                  <c:v>0.25577557755775571</c:v>
                </c:pt>
                <c:pt idx="246">
                  <c:v>0.25848256361922717</c:v>
                </c:pt>
                <c:pt idx="247">
                  <c:v>0.25310344827586206</c:v>
                </c:pt>
                <c:pt idx="248">
                  <c:v>0.25057313159101335</c:v>
                </c:pt>
                <c:pt idx="249">
                  <c:v>0.23642533936651566</c:v>
                </c:pt>
                <c:pt idx="250">
                  <c:v>0.23393885688967653</c:v>
                </c:pt>
                <c:pt idx="251">
                  <c:v>0.22891036906854123</c:v>
                </c:pt>
                <c:pt idx="252">
                  <c:v>0.21819731515022389</c:v>
                </c:pt>
                <c:pt idx="253">
                  <c:v>0.19148064714314983</c:v>
                </c:pt>
                <c:pt idx="254">
                  <c:v>0.18985270049099823</c:v>
                </c:pt>
                <c:pt idx="255">
                  <c:v>0.17233106757297079</c:v>
                </c:pt>
                <c:pt idx="256">
                  <c:v>0.14170661553211894</c:v>
                </c:pt>
                <c:pt idx="257">
                  <c:v>0.11788999436831227</c:v>
                </c:pt>
                <c:pt idx="258">
                  <c:v>0.15708668788616365</c:v>
                </c:pt>
                <c:pt idx="259">
                  <c:v>0.1458447991194276</c:v>
                </c:pt>
                <c:pt idx="260">
                  <c:v>0.14610449129239234</c:v>
                </c:pt>
                <c:pt idx="261">
                  <c:v>0.16486733760292771</c:v>
                </c:pt>
                <c:pt idx="262">
                  <c:v>0.14865350089766594</c:v>
                </c:pt>
                <c:pt idx="263">
                  <c:v>0.14747944225956378</c:v>
                </c:pt>
                <c:pt idx="264">
                  <c:v>0.12891376596116855</c:v>
                </c:pt>
                <c:pt idx="265">
                  <c:v>0.12873839807493992</c:v>
                </c:pt>
                <c:pt idx="266">
                  <c:v>0.13755158184319116</c:v>
                </c:pt>
                <c:pt idx="267">
                  <c:v>0.15859481582537516</c:v>
                </c:pt>
                <c:pt idx="268">
                  <c:v>0.16073228081961699</c:v>
                </c:pt>
                <c:pt idx="269">
                  <c:v>0.16859781696053755</c:v>
                </c:pt>
                <c:pt idx="270">
                  <c:v>0.15517799352750816</c:v>
                </c:pt>
                <c:pt idx="271">
                  <c:v>0.14809478065962201</c:v>
                </c:pt>
                <c:pt idx="272">
                  <c:v>0.15067178502879064</c:v>
                </c:pt>
                <c:pt idx="273">
                  <c:v>0.1497015394282124</c:v>
                </c:pt>
                <c:pt idx="274">
                  <c:v>0.16176930290715852</c:v>
                </c:pt>
                <c:pt idx="275">
                  <c:v>0.16077270602897653</c:v>
                </c:pt>
                <c:pt idx="276">
                  <c:v>0.16485900216919736</c:v>
                </c:pt>
                <c:pt idx="277">
                  <c:v>0.16293589157910771</c:v>
                </c:pt>
                <c:pt idx="278">
                  <c:v>0.16308948004836776</c:v>
                </c:pt>
                <c:pt idx="279">
                  <c:v>0.13614954371504262</c:v>
                </c:pt>
                <c:pt idx="280">
                  <c:v>0.15612791202430909</c:v>
                </c:pt>
                <c:pt idx="281">
                  <c:v>0.14872826555539587</c:v>
                </c:pt>
                <c:pt idx="282">
                  <c:v>0.12914974086006437</c:v>
                </c:pt>
                <c:pt idx="283">
                  <c:v>0.16552782038767266</c:v>
                </c:pt>
                <c:pt idx="284">
                  <c:v>0.1640255768696135</c:v>
                </c:pt>
                <c:pt idx="285">
                  <c:v>0.138953408935647</c:v>
                </c:pt>
                <c:pt idx="286">
                  <c:v>6.6191309027310741E-2</c:v>
                </c:pt>
                <c:pt idx="287">
                  <c:v>5.5563011676285079E-2</c:v>
                </c:pt>
                <c:pt idx="288">
                  <c:v>1.6094706038840112E-2</c:v>
                </c:pt>
                <c:pt idx="289">
                  <c:v>5.2376587665312613E-3</c:v>
                </c:pt>
                <c:pt idx="290">
                  <c:v>-2.0792722547108289E-3</c:v>
                </c:pt>
                <c:pt idx="291">
                  <c:v>-2.085762404456537E-2</c:v>
                </c:pt>
                <c:pt idx="292">
                  <c:v>-6.7083854818523192E-2</c:v>
                </c:pt>
                <c:pt idx="293">
                  <c:v>-6.8926695021265805E-2</c:v>
                </c:pt>
                <c:pt idx="294">
                  <c:v>-7.3812182111400615E-2</c:v>
                </c:pt>
                <c:pt idx="295">
                  <c:v>-9.6434553720985861E-2</c:v>
                </c:pt>
                <c:pt idx="296">
                  <c:v>-0.10031048483400995</c:v>
                </c:pt>
                <c:pt idx="297">
                  <c:v>-0.11024472168905952</c:v>
                </c:pt>
                <c:pt idx="298">
                  <c:v>-5.022082018927454E-2</c:v>
                </c:pt>
                <c:pt idx="299">
                  <c:v>-4.9841068022886237E-2</c:v>
                </c:pt>
                <c:pt idx="300">
                  <c:v>-9.1504123576384266E-2</c:v>
                </c:pt>
                <c:pt idx="301">
                  <c:v>-0.14810472840953481</c:v>
                </c:pt>
                <c:pt idx="302">
                  <c:v>-0.15718192472978265</c:v>
                </c:pt>
                <c:pt idx="303">
                  <c:v>-0.16525535856046569</c:v>
                </c:pt>
                <c:pt idx="304">
                  <c:v>-0.18781862087469825</c:v>
                </c:pt>
                <c:pt idx="305">
                  <c:v>-0.18782748891575984</c:v>
                </c:pt>
                <c:pt idx="306">
                  <c:v>-0.22702919903562813</c:v>
                </c:pt>
                <c:pt idx="307">
                  <c:v>-0.26297669491525422</c:v>
                </c:pt>
                <c:pt idx="308">
                  <c:v>-0.26612689142553758</c:v>
                </c:pt>
                <c:pt idx="309">
                  <c:v>-0.28421194553053797</c:v>
                </c:pt>
                <c:pt idx="310">
                  <c:v>-0.32111066826092727</c:v>
                </c:pt>
                <c:pt idx="311">
                  <c:v>-0.31807841562959993</c:v>
                </c:pt>
                <c:pt idx="312">
                  <c:v>-0.25086455331412105</c:v>
                </c:pt>
                <c:pt idx="313">
                  <c:v>-0.14388379204892976</c:v>
                </c:pt>
                <c:pt idx="314">
                  <c:v>-0.12778121137206422</c:v>
                </c:pt>
                <c:pt idx="315">
                  <c:v>-3.0749722618481634E-2</c:v>
                </c:pt>
                <c:pt idx="316">
                  <c:v>5.3848695077634678E-2</c:v>
                </c:pt>
                <c:pt idx="317">
                  <c:v>5.9222497932175377E-2</c:v>
                </c:pt>
                <c:pt idx="318">
                  <c:v>0.15733841621902633</c:v>
                </c:pt>
                <c:pt idx="319">
                  <c:v>0.24020840819259792</c:v>
                </c:pt>
                <c:pt idx="320">
                  <c:v>0.25791282329535181</c:v>
                </c:pt>
                <c:pt idx="321">
                  <c:v>0.34469768317950633</c:v>
                </c:pt>
                <c:pt idx="322">
                  <c:v>0.41585127201565553</c:v>
                </c:pt>
                <c:pt idx="323">
                  <c:v>0.42700156985871263</c:v>
                </c:pt>
                <c:pt idx="324">
                  <c:v>0.41892671667628378</c:v>
                </c:pt>
                <c:pt idx="325">
                  <c:v>0.35149133773888197</c:v>
                </c:pt>
                <c:pt idx="326">
                  <c:v>0.34844995571302029</c:v>
                </c:pt>
                <c:pt idx="327">
                  <c:v>0.33900245298446441</c:v>
                </c:pt>
                <c:pt idx="328">
                  <c:v>0.28369905956112862</c:v>
                </c:pt>
                <c:pt idx="329">
                  <c:v>0.28471029205060128</c:v>
                </c:pt>
                <c:pt idx="330">
                  <c:v>0.25168438388980374</c:v>
                </c:pt>
                <c:pt idx="331">
                  <c:v>0.24308271765898892</c:v>
                </c:pt>
                <c:pt idx="332">
                  <c:v>0.23824586628324962</c:v>
                </c:pt>
                <c:pt idx="333">
                  <c:v>0.19232385488163617</c:v>
                </c:pt>
                <c:pt idx="334">
                  <c:v>0.20926053904630271</c:v>
                </c:pt>
                <c:pt idx="335">
                  <c:v>0.20407040704070423</c:v>
                </c:pt>
                <c:pt idx="336">
                  <c:v>0.19398129320862134</c:v>
                </c:pt>
                <c:pt idx="337">
                  <c:v>0.14417867054314781</c:v>
                </c:pt>
                <c:pt idx="338">
                  <c:v>0.13439306358381486</c:v>
                </c:pt>
                <c:pt idx="339">
                  <c:v>7.3888617489008546E-2</c:v>
                </c:pt>
                <c:pt idx="340">
                  <c:v>8.7545787545787457E-2</c:v>
                </c:pt>
                <c:pt idx="341">
                  <c:v>8.254315584731331E-2</c:v>
                </c:pt>
                <c:pt idx="342">
                  <c:v>6.7583732057416412E-2</c:v>
                </c:pt>
                <c:pt idx="343">
                  <c:v>2.9600279687681974E-2</c:v>
                </c:pt>
                <c:pt idx="344">
                  <c:v>2.6358569437993529E-2</c:v>
                </c:pt>
                <c:pt idx="345">
                  <c:v>3.7593984962405846E-2</c:v>
                </c:pt>
                <c:pt idx="346">
                  <c:v>5.3720425191450261E-3</c:v>
                </c:pt>
                <c:pt idx="347">
                  <c:v>5.4819552306990538E-3</c:v>
                </c:pt>
                <c:pt idx="348">
                  <c:v>-1.5894641235241203E-3</c:v>
                </c:pt>
                <c:pt idx="349">
                  <c:v>4.6200046200062239E-4</c:v>
                </c:pt>
                <c:pt idx="350">
                  <c:v>2.7793862188767449E-3</c:v>
                </c:pt>
                <c:pt idx="351">
                  <c:v>-2.0470829068578444E-3</c:v>
                </c:pt>
                <c:pt idx="352">
                  <c:v>-1.302346469069271E-2</c:v>
                </c:pt>
                <c:pt idx="353">
                  <c:v>-1.1903425042111171E-2</c:v>
                </c:pt>
                <c:pt idx="354">
                  <c:v>1.0196078431372602E-2</c:v>
                </c:pt>
                <c:pt idx="355">
                  <c:v>2.2297679683078719E-2</c:v>
                </c:pt>
                <c:pt idx="356">
                  <c:v>2.0816834483538882E-2</c:v>
                </c:pt>
                <c:pt idx="357">
                  <c:v>3.2608695652174058E-2</c:v>
                </c:pt>
                <c:pt idx="358">
                  <c:v>4.1496134606639368E-2</c:v>
                </c:pt>
                <c:pt idx="359">
                  <c:v>4.7478418900499753E-2</c:v>
                </c:pt>
                <c:pt idx="360">
                  <c:v>9.2904252899704387E-2</c:v>
                </c:pt>
                <c:pt idx="361">
                  <c:v>0.11960286308012003</c:v>
                </c:pt>
                <c:pt idx="362">
                  <c:v>0.12218500981637592</c:v>
                </c:pt>
                <c:pt idx="363">
                  <c:v>0.10119658119658115</c:v>
                </c:pt>
                <c:pt idx="364">
                  <c:v>9.885109771357059E-2</c:v>
                </c:pt>
                <c:pt idx="365">
                  <c:v>9.6715535856347401E-2</c:v>
                </c:pt>
                <c:pt idx="366">
                  <c:v>6.2333629103815458E-2</c:v>
                </c:pt>
                <c:pt idx="367">
                  <c:v>7.5398582816651905E-2</c:v>
                </c:pt>
                <c:pt idx="368">
                  <c:v>7.7912002659869195E-2</c:v>
                </c:pt>
                <c:pt idx="369">
                  <c:v>8.8925438596491269E-2</c:v>
                </c:pt>
                <c:pt idx="370">
                  <c:v>0.10708437943455951</c:v>
                </c:pt>
                <c:pt idx="371">
                  <c:v>9.9653003686835717E-2</c:v>
                </c:pt>
                <c:pt idx="372">
                  <c:v>2.2474248257205343E-2</c:v>
                </c:pt>
                <c:pt idx="373">
                  <c:v>1.5260878531655919E-2</c:v>
                </c:pt>
                <c:pt idx="374">
                  <c:v>1.0599979417515781E-2</c:v>
                </c:pt>
                <c:pt idx="375">
                  <c:v>1.5937079581910485E-2</c:v>
                </c:pt>
                <c:pt idx="376">
                  <c:v>7.8674948240167186E-3</c:v>
                </c:pt>
                <c:pt idx="377">
                  <c:v>7.2538860103628089E-3</c:v>
                </c:pt>
                <c:pt idx="378">
                  <c:v>1.5869701399039426E-2</c:v>
                </c:pt>
                <c:pt idx="379">
                  <c:v>-9.4718418614228028E-3</c:v>
                </c:pt>
                <c:pt idx="380">
                  <c:v>-1.1001439440674554E-2</c:v>
                </c:pt>
                <c:pt idx="381">
                  <c:v>-2.6986204813211234E-2</c:v>
                </c:pt>
                <c:pt idx="382">
                  <c:v>-5.8173930191283807E-2</c:v>
                </c:pt>
                <c:pt idx="383">
                  <c:v>-5.6404693817177831E-2</c:v>
                </c:pt>
                <c:pt idx="384">
                  <c:v>-9.667243309250062E-3</c:v>
                </c:pt>
                <c:pt idx="385">
                  <c:v>-2.0109689213893889E-2</c:v>
                </c:pt>
                <c:pt idx="386">
                  <c:v>-1.3543788187372674E-2</c:v>
                </c:pt>
                <c:pt idx="387">
                  <c:v>-6.8248955892838969E-3</c:v>
                </c:pt>
                <c:pt idx="388">
                  <c:v>-2.0542317173377622E-3</c:v>
                </c:pt>
                <c:pt idx="389">
                  <c:v>5.1440329218110925E-4</c:v>
                </c:pt>
                <c:pt idx="390">
                  <c:v>-3.8026721479957892E-3</c:v>
                </c:pt>
                <c:pt idx="391">
                  <c:v>1.4031805425631427E-2</c:v>
                </c:pt>
                <c:pt idx="392">
                  <c:v>1.4658488408358483E-2</c:v>
                </c:pt>
                <c:pt idx="393">
                  <c:v>1.0452240505019139E-2</c:v>
                </c:pt>
                <c:pt idx="394">
                  <c:v>2.9313232830820768E-2</c:v>
                </c:pt>
                <c:pt idx="395">
                  <c:v>2.7275577385306615E-2</c:v>
                </c:pt>
                <c:pt idx="396">
                  <c:v>1.3049732840115125E-2</c:v>
                </c:pt>
                <c:pt idx="397">
                  <c:v>4.0526533996683156E-2</c:v>
                </c:pt>
                <c:pt idx="398">
                  <c:v>3.5511510271497793E-2</c:v>
                </c:pt>
                <c:pt idx="399">
                  <c:v>2.6358974358974274E-2</c:v>
                </c:pt>
                <c:pt idx="400">
                  <c:v>5.7739810621654897E-2</c:v>
                </c:pt>
                <c:pt idx="401">
                  <c:v>5.542416452442156E-2</c:v>
                </c:pt>
                <c:pt idx="402">
                  <c:v>6.6852367688022163E-2</c:v>
                </c:pt>
                <c:pt idx="403">
                  <c:v>7.7695776957769525E-2</c:v>
                </c:pt>
                <c:pt idx="404">
                  <c:v>8.2377049180327955E-2</c:v>
                </c:pt>
                <c:pt idx="405">
                  <c:v>8.6952068824252216E-2</c:v>
                </c:pt>
                <c:pt idx="406">
                  <c:v>8.1061838893409455E-2</c:v>
                </c:pt>
                <c:pt idx="407">
                  <c:v>8.6164801627670373E-2</c:v>
                </c:pt>
                <c:pt idx="408">
                  <c:v>7.5768333502383545E-2</c:v>
                </c:pt>
                <c:pt idx="409">
                  <c:v>5.4188664209582571E-2</c:v>
                </c:pt>
                <c:pt idx="410">
                  <c:v>7.7260492473332665E-2</c:v>
                </c:pt>
                <c:pt idx="411">
                  <c:v>0.11312081542919961</c:v>
                </c:pt>
                <c:pt idx="412">
                  <c:v>9.5553176997178246E-2</c:v>
                </c:pt>
                <c:pt idx="413">
                  <c:v>9.9181605611847079E-2</c:v>
                </c:pt>
                <c:pt idx="414">
                  <c:v>0.12822744415433718</c:v>
                </c:pt>
                <c:pt idx="415">
                  <c:v>0.12887578466806171</c:v>
                </c:pt>
                <c:pt idx="416">
                  <c:v>0.13555471412343811</c:v>
                </c:pt>
                <c:pt idx="417">
                  <c:v>0.16376142466786026</c:v>
                </c:pt>
                <c:pt idx="418">
                  <c:v>0.2007714742685105</c:v>
                </c:pt>
                <c:pt idx="419">
                  <c:v>0.1948112765758172</c:v>
                </c:pt>
                <c:pt idx="420">
                  <c:v>0.21695266830096172</c:v>
                </c:pt>
                <c:pt idx="421">
                  <c:v>0.22592837569687241</c:v>
                </c:pt>
                <c:pt idx="422">
                  <c:v>0.17925226725893029</c:v>
                </c:pt>
                <c:pt idx="423">
                  <c:v>0.14337014094622491</c:v>
                </c:pt>
                <c:pt idx="424">
                  <c:v>0.13695710098587788</c:v>
                </c:pt>
                <c:pt idx="425">
                  <c:v>0.13641198369083507</c:v>
                </c:pt>
                <c:pt idx="426">
                  <c:v>0.10431130539127453</c:v>
                </c:pt>
                <c:pt idx="427">
                  <c:v>9.6891060746482349E-2</c:v>
                </c:pt>
                <c:pt idx="428">
                  <c:v>8.8779593197732654E-2</c:v>
                </c:pt>
                <c:pt idx="429">
                  <c:v>4.5988179094810011E-2</c:v>
                </c:pt>
                <c:pt idx="430">
                  <c:v>8.3836088693880484E-3</c:v>
                </c:pt>
                <c:pt idx="431">
                  <c:v>8.0739985890099231E-3</c:v>
                </c:pt>
                <c:pt idx="432">
                  <c:v>6.5080963818082704E-3</c:v>
                </c:pt>
                <c:pt idx="433">
                  <c:v>9.4034222290735325E-3</c:v>
                </c:pt>
                <c:pt idx="434">
                  <c:v>2.6759789688456381E-2</c:v>
                </c:pt>
                <c:pt idx="435">
                  <c:v>-4.4755025125627901E-3</c:v>
                </c:pt>
                <c:pt idx="436">
                  <c:v>-5.5073822357628255E-2</c:v>
                </c:pt>
                <c:pt idx="437">
                  <c:v>-6.1071679276187618E-2</c:v>
                </c:pt>
                <c:pt idx="438">
                  <c:v>-0.12814343371623726</c:v>
                </c:pt>
                <c:pt idx="439">
                  <c:v>-0.17843152315846078</c:v>
                </c:pt>
                <c:pt idx="440">
                  <c:v>-0.18069060561978412</c:v>
                </c:pt>
                <c:pt idx="441">
                  <c:v>-0.17509095131202113</c:v>
                </c:pt>
                <c:pt idx="442">
                  <c:v>-0.16511266511266498</c:v>
                </c:pt>
                <c:pt idx="443">
                  <c:v>-0.16096423017107298</c:v>
                </c:pt>
                <c:pt idx="444">
                  <c:v>-0.16080363328458169</c:v>
                </c:pt>
                <c:pt idx="445">
                  <c:v>-0.15997251069028717</c:v>
                </c:pt>
                <c:pt idx="446">
                  <c:v>-0.15667991439926632</c:v>
                </c:pt>
                <c:pt idx="447">
                  <c:v>-4.6927991166495819E-2</c:v>
                </c:pt>
                <c:pt idx="448">
                  <c:v>9.5568783068783247E-2</c:v>
                </c:pt>
                <c:pt idx="449">
                  <c:v>0.10965276624023934</c:v>
                </c:pt>
                <c:pt idx="450">
                  <c:v>0.29733819994658583</c:v>
                </c:pt>
                <c:pt idx="451">
                  <c:v>0.46148092744951397</c:v>
                </c:pt>
                <c:pt idx="452">
                  <c:v>0.46649845808802914</c:v>
                </c:pt>
                <c:pt idx="453">
                  <c:v>0.52266116167777077</c:v>
                </c:pt>
                <c:pt idx="454">
                  <c:v>0.55691019078641224</c:v>
                </c:pt>
                <c:pt idx="455">
                  <c:v>0.55273401297497671</c:v>
                </c:pt>
                <c:pt idx="456">
                  <c:v>0.58732342689414807</c:v>
                </c:pt>
                <c:pt idx="457">
                  <c:v>0.6824834105990365</c:v>
                </c:pt>
                <c:pt idx="458">
                  <c:v>0.68189233278955963</c:v>
                </c:pt>
                <c:pt idx="459">
                  <c:v>0.52482621648460759</c:v>
                </c:pt>
                <c:pt idx="460">
                  <c:v>0.39367642619981869</c:v>
                </c:pt>
                <c:pt idx="461">
                  <c:v>0.38246743524479698</c:v>
                </c:pt>
                <c:pt idx="462">
                  <c:v>0.26281479448294798</c:v>
                </c:pt>
                <c:pt idx="463">
                  <c:v>0.15775332650972373</c:v>
                </c:pt>
                <c:pt idx="464">
                  <c:v>0.15344421079462167</c:v>
                </c:pt>
                <c:pt idx="465">
                  <c:v>9.453380168854375E-2</c:v>
                </c:pt>
                <c:pt idx="466">
                  <c:v>6.3781457349513015E-2</c:v>
                </c:pt>
                <c:pt idx="467">
                  <c:v>6.3387847678166409E-2</c:v>
                </c:pt>
                <c:pt idx="468">
                  <c:v>1.0806125397283983E-2</c:v>
                </c:pt>
                <c:pt idx="469">
                  <c:v>-7.3477767572532215E-2</c:v>
                </c:pt>
                <c:pt idx="470">
                  <c:v>-7.7971764198728311E-2</c:v>
                </c:pt>
                <c:pt idx="471">
                  <c:v>-7.5762509497449115E-2</c:v>
                </c:pt>
                <c:pt idx="472">
                  <c:v>-6.6977096756727472E-2</c:v>
                </c:pt>
                <c:pt idx="473">
                  <c:v>-6.6984350462987896E-2</c:v>
                </c:pt>
                <c:pt idx="474">
                  <c:v>-6.2163777644949181E-2</c:v>
                </c:pt>
                <c:pt idx="475">
                  <c:v>-2.8235164106531041E-2</c:v>
                </c:pt>
                <c:pt idx="476">
                  <c:v>-2.9059168001767777E-2</c:v>
                </c:pt>
                <c:pt idx="477">
                  <c:v>-1.5201846742863845E-3</c:v>
                </c:pt>
                <c:pt idx="478">
                  <c:v>-1.4048100696786303E-3</c:v>
                </c:pt>
                <c:pt idx="479">
                  <c:v>8.9806915132473186E-4</c:v>
                </c:pt>
                <c:pt idx="480">
                  <c:v>2.1838554767894092E-2</c:v>
                </c:pt>
                <c:pt idx="481">
                  <c:v>6.4027056971251994E-2</c:v>
                </c:pt>
                <c:pt idx="482">
                  <c:v>6.5162760797147889E-2</c:v>
                </c:pt>
                <c:pt idx="483">
                  <c:v>7.3987081620669359E-2</c:v>
                </c:pt>
                <c:pt idx="484">
                  <c:v>6.1745589600742834E-2</c:v>
                </c:pt>
                <c:pt idx="485">
                  <c:v>6.3784097504352655E-2</c:v>
                </c:pt>
                <c:pt idx="486">
                  <c:v>7.0108349267049119E-2</c:v>
                </c:pt>
                <c:pt idx="487">
                  <c:v>8.7337237732415973E-2</c:v>
                </c:pt>
                <c:pt idx="488">
                  <c:v>7.4765291607396867E-2</c:v>
                </c:pt>
                <c:pt idx="489">
                  <c:v>5.5204691552949159E-2</c:v>
                </c:pt>
                <c:pt idx="490">
                  <c:v>6.7019301108547591E-2</c:v>
                </c:pt>
                <c:pt idx="491">
                  <c:v>6.7799461641991909E-2</c:v>
                </c:pt>
                <c:pt idx="492">
                  <c:v>9.3935325053149832E-2</c:v>
                </c:pt>
                <c:pt idx="493">
                  <c:v>9.7824299884912591E-2</c:v>
                </c:pt>
                <c:pt idx="494">
                  <c:v>0.10024141336552184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6A-4C44-9B5E-5606AF904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982560"/>
        <c:axId val="1433425120"/>
      </c:lineChart>
      <c:dateAx>
        <c:axId val="1270033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70030624"/>
        <c:crosses val="autoZero"/>
        <c:auto val="1"/>
        <c:lblOffset val="100"/>
        <c:baseTimeUnit val="months"/>
      </c:dateAx>
      <c:valAx>
        <c:axId val="127003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70033024"/>
        <c:crosses val="autoZero"/>
        <c:crossBetween val="between"/>
      </c:valAx>
      <c:valAx>
        <c:axId val="14334251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79982560"/>
        <c:crosses val="max"/>
        <c:crossBetween val="between"/>
      </c:valAx>
      <c:dateAx>
        <c:axId val="16799825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3342512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</xdr:colOff>
      <xdr:row>127</xdr:row>
      <xdr:rowOff>160020</xdr:rowOff>
    </xdr:from>
    <xdr:to>
      <xdr:col>17</xdr:col>
      <xdr:colOff>312420</xdr:colOff>
      <xdr:row>150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3C5892-8F4B-4E2A-A85C-7FE55AF80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457200</xdr:colOff>
      <xdr:row>125</xdr:row>
      <xdr:rowOff>167640</xdr:rowOff>
    </xdr:from>
    <xdr:to>
      <xdr:col>23</xdr:col>
      <xdr:colOff>53340</xdr:colOff>
      <xdr:row>148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FB6A1F-19E5-4903-A580-1B6AE2EF4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6626-E7B9-4901-AB50-05C73DACC8B5}">
  <dimension ref="A1:J632"/>
  <sheetViews>
    <sheetView tabSelected="1" workbookViewId="0">
      <selection activeCell="G138" sqref="G138"/>
    </sheetView>
  </sheetViews>
  <sheetFormatPr defaultRowHeight="14.4" x14ac:dyDescent="0.3"/>
  <cols>
    <col min="1" max="1" width="10.5546875" bestFit="1" customWidth="1"/>
    <col min="2" max="2" width="9.5546875" style="3" bestFit="1" customWidth="1"/>
    <col min="3" max="7" width="8.88671875" style="3"/>
    <col min="8" max="8" width="8.88671875" style="8"/>
  </cols>
  <sheetData>
    <row r="1" spans="1:10" x14ac:dyDescent="0.3">
      <c r="A1" t="e">
        <f ca="1">_xll.Thomson.Reuters.AFOSpreadSheetFormulas.DSGRID("TOTMKUS(PE),TRUS10T(RY),USCONPRCE, TOTMKUS(PI)/TOTMKUS(PE),TRUS3MT(RY)"," ","1973-01-31","","M","RowHeader=true;ColHeader=true;Heading=true;Curn=true;DispSeriesDescription=false;YearlyTSFormat=false;QuarterlyTSFormat=false","")</f>
        <v>#NAME?</v>
      </c>
      <c r="B1" s="2">
        <v>26695</v>
      </c>
    </row>
    <row r="2" spans="1:10" x14ac:dyDescent="0.3">
      <c r="A2" s="12" t="s">
        <v>0</v>
      </c>
      <c r="B2" s="2">
        <v>45762</v>
      </c>
    </row>
    <row r="3" spans="1:10" x14ac:dyDescent="0.3">
      <c r="A3" s="12" t="s">
        <v>1</v>
      </c>
      <c r="B3" s="13" t="s">
        <v>2</v>
      </c>
    </row>
    <row r="4" spans="1:10" x14ac:dyDescent="0.3">
      <c r="A4" s="12" t="s">
        <v>3</v>
      </c>
      <c r="B4" s="13" t="s">
        <v>10</v>
      </c>
      <c r="C4" s="13" t="s">
        <v>11</v>
      </c>
      <c r="D4" s="13" t="s">
        <v>4</v>
      </c>
      <c r="E4" s="13" t="s">
        <v>7</v>
      </c>
      <c r="F4" s="13" t="s">
        <v>12</v>
      </c>
      <c r="H4" s="14" t="s">
        <v>9</v>
      </c>
      <c r="I4" s="16" t="s">
        <v>8</v>
      </c>
      <c r="J4" s="15" t="s">
        <v>13</v>
      </c>
    </row>
    <row r="5" spans="1:10" hidden="1" x14ac:dyDescent="0.3">
      <c r="A5" s="12" t="s">
        <v>5</v>
      </c>
      <c r="B5" s="13" t="s">
        <v>6</v>
      </c>
      <c r="C5" s="13" t="s">
        <v>6</v>
      </c>
      <c r="D5" s="13" t="s">
        <v>6</v>
      </c>
      <c r="E5" s="13" t="s">
        <v>6</v>
      </c>
      <c r="F5" s="13" t="s">
        <v>6</v>
      </c>
    </row>
    <row r="6" spans="1:10" hidden="1" x14ac:dyDescent="0.3">
      <c r="A6" s="1">
        <v>26695</v>
      </c>
      <c r="B6" s="3">
        <v>23.6</v>
      </c>
      <c r="C6" s="3">
        <v>6.54</v>
      </c>
      <c r="D6" s="3">
        <v>42.7</v>
      </c>
      <c r="E6" s="3">
        <v>4.1399999999999997</v>
      </c>
      <c r="F6" s="3">
        <v>5.68</v>
      </c>
    </row>
    <row r="7" spans="1:10" hidden="1" x14ac:dyDescent="0.3">
      <c r="A7" s="1">
        <v>26723</v>
      </c>
      <c r="B7" s="3">
        <v>22.8</v>
      </c>
      <c r="C7" s="3">
        <v>6.64</v>
      </c>
      <c r="D7" s="3">
        <v>43</v>
      </c>
      <c r="E7" s="3">
        <v>4.1399999999999997</v>
      </c>
      <c r="F7" s="3">
        <v>5.85</v>
      </c>
    </row>
    <row r="8" spans="1:10" hidden="1" x14ac:dyDescent="0.3">
      <c r="A8" s="1">
        <v>26753</v>
      </c>
      <c r="B8" s="3">
        <v>22.7</v>
      </c>
      <c r="C8" s="3">
        <v>6.73</v>
      </c>
      <c r="D8" s="3">
        <v>43.4</v>
      </c>
      <c r="E8" s="3">
        <v>4.1500000000000004</v>
      </c>
      <c r="F8" s="3">
        <v>6.4</v>
      </c>
    </row>
    <row r="9" spans="1:10" hidden="1" x14ac:dyDescent="0.3">
      <c r="A9" s="1">
        <v>26784</v>
      </c>
      <c r="B9" s="3">
        <v>21.6</v>
      </c>
      <c r="C9" s="3">
        <v>6.7</v>
      </c>
      <c r="D9" s="3">
        <v>43.7</v>
      </c>
      <c r="E9" s="3">
        <v>4.17</v>
      </c>
      <c r="F9" s="3">
        <v>6.23</v>
      </c>
    </row>
    <row r="10" spans="1:10" hidden="1" x14ac:dyDescent="0.3">
      <c r="A10" s="1">
        <v>26815</v>
      </c>
      <c r="B10" s="3">
        <v>20.7</v>
      </c>
      <c r="C10" s="3">
        <v>6.93</v>
      </c>
      <c r="D10" s="3">
        <v>43.9</v>
      </c>
      <c r="E10" s="3">
        <v>4.29</v>
      </c>
      <c r="F10" s="3">
        <v>6.92</v>
      </c>
    </row>
    <row r="11" spans="1:10" hidden="1" x14ac:dyDescent="0.3">
      <c r="A11" s="1">
        <v>26844</v>
      </c>
      <c r="B11" s="3">
        <v>20.6</v>
      </c>
      <c r="C11" s="3">
        <v>6.94</v>
      </c>
      <c r="D11" s="3">
        <v>44.2</v>
      </c>
      <c r="E11" s="3">
        <v>4.3099999999999996</v>
      </c>
      <c r="F11" s="3">
        <v>7.52</v>
      </c>
    </row>
    <row r="12" spans="1:10" hidden="1" x14ac:dyDescent="0.3">
      <c r="A12" s="1">
        <v>26876</v>
      </c>
      <c r="B12" s="3">
        <v>21.4</v>
      </c>
      <c r="C12" s="3">
        <v>7.43</v>
      </c>
      <c r="D12" s="3">
        <v>44.2</v>
      </c>
      <c r="E12" s="3">
        <v>4.32</v>
      </c>
      <c r="F12" s="3">
        <v>8.32</v>
      </c>
    </row>
    <row r="13" spans="1:10" hidden="1" x14ac:dyDescent="0.3">
      <c r="A13" s="1">
        <v>26907</v>
      </c>
      <c r="B13" s="3">
        <v>20.5</v>
      </c>
      <c r="C13" s="3">
        <v>7.25</v>
      </c>
      <c r="D13" s="3">
        <v>45</v>
      </c>
      <c r="E13" s="3">
        <v>4.33</v>
      </c>
      <c r="F13" s="3">
        <v>8.66</v>
      </c>
    </row>
    <row r="14" spans="1:10" hidden="1" x14ac:dyDescent="0.3">
      <c r="A14" s="1">
        <v>26935</v>
      </c>
      <c r="B14" s="3">
        <v>21</v>
      </c>
      <c r="C14" s="3">
        <v>6.9</v>
      </c>
      <c r="D14" s="3">
        <v>45.2</v>
      </c>
      <c r="E14" s="3">
        <v>4.33</v>
      </c>
      <c r="F14" s="3">
        <v>6.98</v>
      </c>
    </row>
    <row r="15" spans="1:10" hidden="1" x14ac:dyDescent="0.3">
      <c r="A15" s="1">
        <v>26968</v>
      </c>
      <c r="B15" s="3">
        <v>20.8</v>
      </c>
      <c r="C15" s="3">
        <v>6.71</v>
      </c>
      <c r="D15" s="3">
        <v>45.6</v>
      </c>
      <c r="E15" s="3">
        <v>4.34</v>
      </c>
      <c r="F15" s="3">
        <v>7.36</v>
      </c>
    </row>
    <row r="16" spans="1:10" hidden="1" x14ac:dyDescent="0.3">
      <c r="A16" s="1">
        <v>26998</v>
      </c>
      <c r="B16" s="3">
        <v>18.399999999999999</v>
      </c>
      <c r="C16" s="3">
        <v>6.69</v>
      </c>
      <c r="D16" s="3">
        <v>45.9</v>
      </c>
      <c r="E16" s="3">
        <v>4.3499999999999996</v>
      </c>
      <c r="F16" s="3">
        <v>7.3</v>
      </c>
    </row>
    <row r="17" spans="1:6" hidden="1" x14ac:dyDescent="0.3">
      <c r="A17" s="1">
        <v>27029</v>
      </c>
      <c r="B17" s="3">
        <v>18</v>
      </c>
      <c r="C17" s="3">
        <v>6.9</v>
      </c>
      <c r="D17" s="3">
        <v>46.3</v>
      </c>
      <c r="E17" s="3">
        <v>4.45</v>
      </c>
      <c r="F17" s="3">
        <v>7.46</v>
      </c>
    </row>
    <row r="18" spans="1:6" hidden="1" x14ac:dyDescent="0.3">
      <c r="A18" s="1">
        <v>27060</v>
      </c>
      <c r="B18" s="3">
        <v>17.5</v>
      </c>
      <c r="C18" s="3">
        <v>7</v>
      </c>
      <c r="D18" s="3">
        <v>46.8</v>
      </c>
      <c r="E18" s="3">
        <v>4.53</v>
      </c>
      <c r="F18" s="3">
        <v>7.48</v>
      </c>
    </row>
    <row r="19" spans="1:6" hidden="1" x14ac:dyDescent="0.3">
      <c r="A19" s="1">
        <v>27088</v>
      </c>
      <c r="B19" s="3">
        <v>16.8</v>
      </c>
      <c r="C19" s="3">
        <v>7.01</v>
      </c>
      <c r="D19" s="3">
        <v>47.3</v>
      </c>
      <c r="E19" s="3">
        <v>4.6500000000000004</v>
      </c>
      <c r="F19" s="3">
        <v>7.46</v>
      </c>
    </row>
    <row r="20" spans="1:6" hidden="1" x14ac:dyDescent="0.3">
      <c r="A20" s="1">
        <v>27117</v>
      </c>
      <c r="B20" s="3">
        <v>16.5</v>
      </c>
      <c r="C20" s="3">
        <v>7.41</v>
      </c>
      <c r="D20" s="3">
        <v>47.8</v>
      </c>
      <c r="E20" s="3">
        <v>4.6399999999999997</v>
      </c>
      <c r="F20" s="3">
        <v>8.2799999999999994</v>
      </c>
    </row>
    <row r="21" spans="1:6" hidden="1" x14ac:dyDescent="0.3">
      <c r="A21" s="1">
        <v>27149</v>
      </c>
      <c r="B21" s="3">
        <v>12.6</v>
      </c>
      <c r="C21" s="3">
        <v>7.66</v>
      </c>
      <c r="D21" s="3">
        <v>48.1</v>
      </c>
      <c r="E21" s="3">
        <v>5.89</v>
      </c>
      <c r="F21" s="3">
        <v>8.9</v>
      </c>
    </row>
    <row r="22" spans="1:6" hidden="1" x14ac:dyDescent="0.3">
      <c r="A22" s="1">
        <v>27180</v>
      </c>
      <c r="B22" s="3">
        <v>12.4</v>
      </c>
      <c r="C22" s="3">
        <v>7.52</v>
      </c>
      <c r="D22" s="3">
        <v>48.6</v>
      </c>
      <c r="E22" s="3">
        <v>5.87</v>
      </c>
      <c r="F22" s="3">
        <v>8.08</v>
      </c>
    </row>
    <row r="23" spans="1:6" hidden="1" x14ac:dyDescent="0.3">
      <c r="A23" s="1">
        <v>27208</v>
      </c>
      <c r="B23" s="3">
        <v>12.2</v>
      </c>
      <c r="C23" s="3">
        <v>7.64</v>
      </c>
      <c r="D23" s="3">
        <v>49</v>
      </c>
      <c r="E23" s="3">
        <v>5.87</v>
      </c>
      <c r="F23" s="3">
        <v>7.34</v>
      </c>
    </row>
    <row r="24" spans="1:6" hidden="1" x14ac:dyDescent="0.3">
      <c r="A24" s="1">
        <v>27241</v>
      </c>
      <c r="B24" s="3">
        <v>10.7</v>
      </c>
      <c r="C24" s="3">
        <v>7.89</v>
      </c>
      <c r="D24" s="3">
        <v>49.3</v>
      </c>
      <c r="E24" s="3">
        <v>6.11</v>
      </c>
      <c r="F24" s="3">
        <v>7.67</v>
      </c>
    </row>
    <row r="25" spans="1:6" hidden="1" x14ac:dyDescent="0.3">
      <c r="A25" s="1">
        <v>27271</v>
      </c>
      <c r="B25" s="3">
        <v>9.6999999999999993</v>
      </c>
      <c r="C25" s="3">
        <v>8.11</v>
      </c>
      <c r="D25" s="3">
        <v>49.9</v>
      </c>
      <c r="E25" s="3">
        <v>6.1</v>
      </c>
      <c r="F25" s="3">
        <v>8.93</v>
      </c>
    </row>
    <row r="26" spans="1:6" hidden="1" x14ac:dyDescent="0.3">
      <c r="A26" s="1">
        <v>27302</v>
      </c>
      <c r="B26" s="3">
        <v>8.1999999999999993</v>
      </c>
      <c r="C26" s="3">
        <v>7.94</v>
      </c>
      <c r="D26" s="3">
        <v>50.6</v>
      </c>
      <c r="E26" s="3">
        <v>6.29</v>
      </c>
      <c r="F26" s="3">
        <v>6.12</v>
      </c>
    </row>
    <row r="27" spans="1:6" hidden="1" x14ac:dyDescent="0.3">
      <c r="A27" s="1">
        <v>27333</v>
      </c>
      <c r="B27" s="3">
        <v>9.6</v>
      </c>
      <c r="C27" s="3">
        <v>7.79</v>
      </c>
      <c r="D27" s="3">
        <v>51</v>
      </c>
      <c r="E27" s="3">
        <v>6.29</v>
      </c>
      <c r="F27" s="3">
        <v>7.8</v>
      </c>
    </row>
    <row r="28" spans="1:6" hidden="1" x14ac:dyDescent="0.3">
      <c r="A28" s="1">
        <v>27362</v>
      </c>
      <c r="B28" s="3">
        <v>9.1</v>
      </c>
      <c r="C28" s="3">
        <v>7.64</v>
      </c>
      <c r="D28" s="3">
        <v>51.5</v>
      </c>
      <c r="E28" s="3">
        <v>6.29</v>
      </c>
      <c r="F28" s="3">
        <v>7.47</v>
      </c>
    </row>
    <row r="29" spans="1:6" hidden="1" x14ac:dyDescent="0.3">
      <c r="A29" s="1">
        <v>27394</v>
      </c>
      <c r="B29" s="3">
        <v>8.9</v>
      </c>
      <c r="C29" s="3">
        <v>7.4</v>
      </c>
      <c r="D29" s="3">
        <v>51.9</v>
      </c>
      <c r="E29" s="3">
        <v>6.26</v>
      </c>
      <c r="F29" s="3">
        <v>7.06</v>
      </c>
    </row>
    <row r="30" spans="1:6" hidden="1" x14ac:dyDescent="0.3">
      <c r="A30" s="1">
        <v>27425</v>
      </c>
      <c r="B30" s="3">
        <v>10.1</v>
      </c>
      <c r="C30" s="3">
        <v>7.53</v>
      </c>
      <c r="D30" s="3">
        <v>52.3</v>
      </c>
      <c r="E30" s="3">
        <v>6.23</v>
      </c>
      <c r="F30" s="3">
        <v>5.68</v>
      </c>
    </row>
    <row r="31" spans="1:6" hidden="1" x14ac:dyDescent="0.3">
      <c r="A31" s="1">
        <v>27453</v>
      </c>
      <c r="B31" s="3">
        <v>10.8</v>
      </c>
      <c r="C31" s="3">
        <v>7.46</v>
      </c>
      <c r="D31" s="3">
        <v>52.6</v>
      </c>
      <c r="E31" s="3">
        <v>6.22</v>
      </c>
      <c r="F31" s="3">
        <v>5.4</v>
      </c>
    </row>
    <row r="32" spans="1:6" hidden="1" x14ac:dyDescent="0.3">
      <c r="A32" s="1">
        <v>27484</v>
      </c>
      <c r="B32" s="3">
        <v>11.4</v>
      </c>
      <c r="C32" s="3">
        <v>8.01</v>
      </c>
      <c r="D32" s="3">
        <v>52.8</v>
      </c>
      <c r="E32" s="3">
        <v>6.02</v>
      </c>
      <c r="F32" s="3">
        <v>5.53</v>
      </c>
    </row>
    <row r="33" spans="1:6" hidden="1" x14ac:dyDescent="0.3">
      <c r="A33" s="1">
        <v>27514</v>
      </c>
      <c r="B33" s="3">
        <v>11.8</v>
      </c>
      <c r="C33" s="3">
        <v>8.31</v>
      </c>
      <c r="D33" s="3">
        <v>53</v>
      </c>
      <c r="E33" s="3">
        <v>6.01</v>
      </c>
      <c r="F33" s="3">
        <v>5.5</v>
      </c>
    </row>
    <row r="34" spans="1:6" hidden="1" x14ac:dyDescent="0.3">
      <c r="A34" s="1">
        <v>27544</v>
      </c>
      <c r="B34" s="3">
        <v>12.4</v>
      </c>
      <c r="C34" s="3">
        <v>8.0399999999999991</v>
      </c>
      <c r="D34" s="3">
        <v>53.1</v>
      </c>
      <c r="E34" s="3">
        <v>5.99</v>
      </c>
      <c r="F34" s="3">
        <v>5.2</v>
      </c>
    </row>
    <row r="35" spans="1:6" hidden="1" x14ac:dyDescent="0.3">
      <c r="A35" s="1">
        <v>27575</v>
      </c>
      <c r="B35" s="3">
        <v>13.4</v>
      </c>
      <c r="C35" s="3">
        <v>7.96</v>
      </c>
      <c r="D35" s="3">
        <v>53.5</v>
      </c>
      <c r="E35" s="3">
        <v>5.76</v>
      </c>
      <c r="F35" s="3">
        <v>5.86</v>
      </c>
    </row>
    <row r="36" spans="1:6" hidden="1" x14ac:dyDescent="0.3">
      <c r="A36" s="1">
        <v>27606</v>
      </c>
      <c r="B36" s="3">
        <v>12.5</v>
      </c>
      <c r="C36" s="3">
        <v>8.1999999999999993</v>
      </c>
      <c r="D36" s="3">
        <v>54</v>
      </c>
      <c r="E36" s="3">
        <v>5.75</v>
      </c>
      <c r="F36" s="3">
        <v>6.25</v>
      </c>
    </row>
    <row r="37" spans="1:6" hidden="1" x14ac:dyDescent="0.3">
      <c r="A37" s="1">
        <v>27635</v>
      </c>
      <c r="B37" s="3">
        <v>12.1</v>
      </c>
      <c r="C37" s="3">
        <v>8.2200000000000006</v>
      </c>
      <c r="D37" s="3">
        <v>54.2</v>
      </c>
      <c r="E37" s="3">
        <v>5.75</v>
      </c>
      <c r="F37" s="3">
        <v>6.36</v>
      </c>
    </row>
    <row r="38" spans="1:6" hidden="1" x14ac:dyDescent="0.3">
      <c r="A38" s="1">
        <v>27667</v>
      </c>
      <c r="B38" s="3">
        <v>11.7</v>
      </c>
      <c r="C38" s="3">
        <v>8.48</v>
      </c>
      <c r="D38" s="3">
        <v>54.6</v>
      </c>
      <c r="E38" s="3">
        <v>5.72</v>
      </c>
      <c r="F38" s="3">
        <v>6.58</v>
      </c>
    </row>
    <row r="39" spans="1:6" hidden="1" x14ac:dyDescent="0.3">
      <c r="A39" s="1">
        <v>27698</v>
      </c>
      <c r="B39" s="3">
        <v>12.6</v>
      </c>
      <c r="C39" s="3">
        <v>7.91</v>
      </c>
      <c r="D39" s="3">
        <v>54.9</v>
      </c>
      <c r="E39" s="3">
        <v>5.72</v>
      </c>
      <c r="F39" s="3">
        <v>5.51</v>
      </c>
    </row>
    <row r="40" spans="1:6" hidden="1" x14ac:dyDescent="0.3">
      <c r="A40" s="1">
        <v>27726</v>
      </c>
      <c r="B40" s="3">
        <v>13</v>
      </c>
      <c r="C40" s="3">
        <v>8.14</v>
      </c>
      <c r="D40" s="3">
        <v>55.3</v>
      </c>
      <c r="E40" s="3">
        <v>5.72</v>
      </c>
      <c r="F40" s="3">
        <v>5.54</v>
      </c>
    </row>
    <row r="41" spans="1:6" hidden="1" x14ac:dyDescent="0.3">
      <c r="A41" s="1">
        <v>27759</v>
      </c>
      <c r="B41" s="3">
        <v>12.4</v>
      </c>
      <c r="C41" s="3">
        <v>7.76</v>
      </c>
      <c r="D41" s="3">
        <v>55.6</v>
      </c>
      <c r="E41" s="3">
        <v>5.87</v>
      </c>
      <c r="F41" s="3">
        <v>5.2</v>
      </c>
    </row>
    <row r="42" spans="1:6" hidden="1" x14ac:dyDescent="0.3">
      <c r="A42" s="1">
        <v>27789</v>
      </c>
      <c r="B42" s="3">
        <v>13.8</v>
      </c>
      <c r="C42" s="3">
        <v>7.8</v>
      </c>
      <c r="D42" s="3">
        <v>55.8</v>
      </c>
      <c r="E42" s="3">
        <v>5.87</v>
      </c>
      <c r="F42" s="3">
        <v>4.7300000000000004</v>
      </c>
    </row>
    <row r="43" spans="1:6" hidden="1" x14ac:dyDescent="0.3">
      <c r="A43" s="1">
        <v>27817</v>
      </c>
      <c r="B43" s="3">
        <v>13.4</v>
      </c>
      <c r="C43" s="3">
        <v>7.77</v>
      </c>
      <c r="D43" s="3">
        <v>55.9</v>
      </c>
      <c r="E43" s="3">
        <v>5.93</v>
      </c>
      <c r="F43" s="3">
        <v>5</v>
      </c>
    </row>
    <row r="44" spans="1:6" hidden="1" x14ac:dyDescent="0.3">
      <c r="A44" s="1">
        <v>27850</v>
      </c>
      <c r="B44" s="3">
        <v>12.8</v>
      </c>
      <c r="C44" s="3">
        <v>7.66</v>
      </c>
      <c r="D44" s="3">
        <v>56</v>
      </c>
      <c r="E44" s="3">
        <v>6.36</v>
      </c>
      <c r="F44" s="3">
        <v>4.97</v>
      </c>
    </row>
    <row r="45" spans="1:6" hidden="1" x14ac:dyDescent="0.3">
      <c r="A45" s="1">
        <v>27880</v>
      </c>
      <c r="B45" s="3">
        <v>12.6</v>
      </c>
      <c r="C45" s="3">
        <v>7.67</v>
      </c>
      <c r="D45" s="3">
        <v>56.1</v>
      </c>
      <c r="E45" s="3">
        <v>6.38</v>
      </c>
      <c r="F45" s="3">
        <v>4.91</v>
      </c>
    </row>
    <row r="46" spans="1:6" hidden="1" x14ac:dyDescent="0.3">
      <c r="A46" s="1">
        <v>27911</v>
      </c>
      <c r="B46" s="3">
        <v>12.3</v>
      </c>
      <c r="C46" s="3">
        <v>7.96</v>
      </c>
      <c r="D46" s="3">
        <v>56.4</v>
      </c>
      <c r="E46" s="3">
        <v>6.43</v>
      </c>
      <c r="F46" s="3">
        <v>5.49</v>
      </c>
    </row>
    <row r="47" spans="1:6" hidden="1" x14ac:dyDescent="0.3">
      <c r="A47" s="1">
        <v>27941</v>
      </c>
      <c r="B47" s="3">
        <v>12.1</v>
      </c>
      <c r="C47" s="3">
        <v>7.86</v>
      </c>
      <c r="D47" s="3">
        <v>56.7</v>
      </c>
      <c r="E47" s="3">
        <v>6.79</v>
      </c>
      <c r="F47" s="3">
        <v>5.37</v>
      </c>
    </row>
    <row r="48" spans="1:6" hidden="1" x14ac:dyDescent="0.3">
      <c r="A48" s="1">
        <v>27971</v>
      </c>
      <c r="B48" s="3">
        <v>12.1</v>
      </c>
      <c r="C48" s="3">
        <v>7.86</v>
      </c>
      <c r="D48" s="3">
        <v>57</v>
      </c>
      <c r="E48" s="3">
        <v>6.79</v>
      </c>
      <c r="F48" s="3">
        <v>5.17</v>
      </c>
    </row>
    <row r="49" spans="1:6" hidden="1" x14ac:dyDescent="0.3">
      <c r="A49" s="1">
        <v>28003</v>
      </c>
      <c r="B49" s="3">
        <v>11.9</v>
      </c>
      <c r="C49" s="3">
        <v>7.66</v>
      </c>
      <c r="D49" s="3">
        <v>57.3</v>
      </c>
      <c r="E49" s="3">
        <v>6.85</v>
      </c>
      <c r="F49" s="3">
        <v>5.09</v>
      </c>
    </row>
    <row r="50" spans="1:6" hidden="1" x14ac:dyDescent="0.3">
      <c r="A50" s="1">
        <v>28033</v>
      </c>
      <c r="B50" s="3">
        <v>11.9</v>
      </c>
      <c r="C50" s="3">
        <v>7.55</v>
      </c>
      <c r="D50" s="3">
        <v>57.6</v>
      </c>
      <c r="E50" s="3">
        <v>7.05</v>
      </c>
      <c r="F50" s="3">
        <v>5.0599999999999996</v>
      </c>
    </row>
    <row r="51" spans="1:6" hidden="1" x14ac:dyDescent="0.3">
      <c r="A51" s="1">
        <v>28062</v>
      </c>
      <c r="B51" s="3">
        <v>11.6</v>
      </c>
      <c r="C51" s="3">
        <v>7.42</v>
      </c>
      <c r="D51" s="3">
        <v>57.9</v>
      </c>
      <c r="E51" s="3">
        <v>7.06</v>
      </c>
      <c r="F51" s="3">
        <v>4.8899999999999997</v>
      </c>
    </row>
    <row r="52" spans="1:6" hidden="1" x14ac:dyDescent="0.3">
      <c r="A52" s="1">
        <v>28094</v>
      </c>
      <c r="B52" s="3">
        <v>11.4</v>
      </c>
      <c r="C52" s="3">
        <v>7.01</v>
      </c>
      <c r="D52" s="3">
        <v>58.1</v>
      </c>
      <c r="E52" s="3">
        <v>7.11</v>
      </c>
      <c r="F52" s="3">
        <v>4.42</v>
      </c>
    </row>
    <row r="53" spans="1:6" hidden="1" x14ac:dyDescent="0.3">
      <c r="A53" s="1">
        <v>28125</v>
      </c>
      <c r="B53" s="3">
        <v>11.6</v>
      </c>
      <c r="C53" s="3">
        <v>6.81</v>
      </c>
      <c r="D53" s="3">
        <v>58.4</v>
      </c>
      <c r="E53" s="3">
        <v>7.31</v>
      </c>
      <c r="F53" s="3">
        <v>4.34</v>
      </c>
    </row>
    <row r="54" spans="1:6" hidden="1" x14ac:dyDescent="0.3">
      <c r="A54" s="1">
        <v>28156</v>
      </c>
      <c r="B54" s="3">
        <v>11</v>
      </c>
      <c r="C54" s="3">
        <v>7.4</v>
      </c>
      <c r="D54" s="3">
        <v>58.7</v>
      </c>
      <c r="E54" s="3">
        <v>7.32</v>
      </c>
      <c r="F54" s="3">
        <v>4.72</v>
      </c>
    </row>
    <row r="55" spans="1:6" hidden="1" x14ac:dyDescent="0.3">
      <c r="A55" s="1">
        <v>28184</v>
      </c>
      <c r="B55" s="3">
        <v>10.7</v>
      </c>
      <c r="C55" s="3">
        <v>7.45</v>
      </c>
      <c r="D55" s="3">
        <v>59.3</v>
      </c>
      <c r="E55" s="3">
        <v>7.35</v>
      </c>
      <c r="F55" s="3">
        <v>4.7</v>
      </c>
    </row>
    <row r="56" spans="1:6" hidden="1" x14ac:dyDescent="0.3">
      <c r="A56" s="1">
        <v>28215</v>
      </c>
      <c r="B56" s="3">
        <v>10.3</v>
      </c>
      <c r="C56" s="3">
        <v>7.42</v>
      </c>
      <c r="D56" s="3">
        <v>59.6</v>
      </c>
      <c r="E56" s="3">
        <v>7.53</v>
      </c>
      <c r="F56" s="3">
        <v>4.54</v>
      </c>
    </row>
    <row r="57" spans="1:6" hidden="1" x14ac:dyDescent="0.3">
      <c r="A57" s="1">
        <v>28244</v>
      </c>
      <c r="B57" s="3">
        <v>10.3</v>
      </c>
      <c r="C57" s="3">
        <v>7.45</v>
      </c>
      <c r="D57" s="3">
        <v>60</v>
      </c>
      <c r="E57" s="3">
        <v>7.53</v>
      </c>
      <c r="F57" s="3">
        <v>4.6900000000000004</v>
      </c>
    </row>
    <row r="58" spans="1:6" hidden="1" x14ac:dyDescent="0.3">
      <c r="A58" s="1">
        <v>28276</v>
      </c>
      <c r="B58" s="3">
        <v>10</v>
      </c>
      <c r="C58" s="3">
        <v>7.38</v>
      </c>
      <c r="D58" s="3">
        <v>60.2</v>
      </c>
      <c r="E58" s="3">
        <v>7.59</v>
      </c>
      <c r="F58" s="3">
        <v>5.03</v>
      </c>
    </row>
    <row r="59" spans="1:6" hidden="1" x14ac:dyDescent="0.3">
      <c r="A59" s="1">
        <v>28306</v>
      </c>
      <c r="B59" s="3">
        <v>10.1</v>
      </c>
      <c r="C59" s="3">
        <v>7.2</v>
      </c>
      <c r="D59" s="3">
        <v>60.5</v>
      </c>
      <c r="E59" s="3">
        <v>7.83</v>
      </c>
      <c r="F59" s="3">
        <v>4.9800000000000004</v>
      </c>
    </row>
    <row r="60" spans="1:6" hidden="1" x14ac:dyDescent="0.3">
      <c r="A60" s="1">
        <v>28335</v>
      </c>
      <c r="B60" s="3">
        <v>10</v>
      </c>
      <c r="C60" s="3">
        <v>7.42</v>
      </c>
      <c r="D60" s="3">
        <v>60.8</v>
      </c>
      <c r="E60" s="3">
        <v>7.83</v>
      </c>
      <c r="F60" s="3">
        <v>5.4</v>
      </c>
    </row>
    <row r="61" spans="1:6" hidden="1" x14ac:dyDescent="0.3">
      <c r="A61" s="1">
        <v>28368</v>
      </c>
      <c r="B61" s="3">
        <v>9.9</v>
      </c>
      <c r="C61" s="3">
        <v>7.28</v>
      </c>
      <c r="D61" s="3">
        <v>61.1</v>
      </c>
      <c r="E61" s="3">
        <v>7.89</v>
      </c>
      <c r="F61" s="3">
        <v>5.56</v>
      </c>
    </row>
    <row r="62" spans="1:6" hidden="1" x14ac:dyDescent="0.3">
      <c r="A62" s="1">
        <v>28398</v>
      </c>
      <c r="B62" s="3">
        <v>9.6</v>
      </c>
      <c r="C62" s="3">
        <v>7.41</v>
      </c>
      <c r="D62" s="3">
        <v>61.3</v>
      </c>
      <c r="E62" s="3">
        <v>8.08</v>
      </c>
      <c r="F62" s="3">
        <v>5.89</v>
      </c>
    </row>
    <row r="63" spans="1:6" hidden="1" x14ac:dyDescent="0.3">
      <c r="A63" s="1">
        <v>28429</v>
      </c>
      <c r="B63" s="3">
        <v>9.1999999999999993</v>
      </c>
      <c r="C63" s="3">
        <v>7.62</v>
      </c>
      <c r="D63" s="3">
        <v>61.6</v>
      </c>
      <c r="E63" s="3">
        <v>8.1</v>
      </c>
      <c r="F63" s="3">
        <v>6.18</v>
      </c>
    </row>
    <row r="64" spans="1:6" hidden="1" x14ac:dyDescent="0.3">
      <c r="A64" s="1">
        <v>28459</v>
      </c>
      <c r="B64" s="3">
        <v>9.4</v>
      </c>
      <c r="C64" s="3">
        <v>7.55</v>
      </c>
      <c r="D64" s="3">
        <v>62</v>
      </c>
      <c r="E64" s="3">
        <v>8.1300000000000008</v>
      </c>
      <c r="F64" s="3">
        <v>6.04</v>
      </c>
    </row>
    <row r="65" spans="1:6" hidden="1" x14ac:dyDescent="0.3">
      <c r="A65" s="1">
        <v>28489</v>
      </c>
      <c r="B65" s="3">
        <v>9.4</v>
      </c>
      <c r="C65" s="3">
        <v>7.78</v>
      </c>
      <c r="D65" s="3">
        <v>62.3</v>
      </c>
      <c r="E65" s="3">
        <v>8.1300000000000008</v>
      </c>
      <c r="F65" s="3">
        <v>6.13</v>
      </c>
    </row>
    <row r="66" spans="1:6" hidden="1" x14ac:dyDescent="0.3">
      <c r="A66" s="1">
        <v>28521</v>
      </c>
      <c r="B66" s="3">
        <v>8.6</v>
      </c>
      <c r="C66" s="3">
        <v>7.94</v>
      </c>
      <c r="D66" s="3">
        <v>62.7</v>
      </c>
      <c r="E66" s="3">
        <v>8.32</v>
      </c>
      <c r="F66" s="3">
        <v>6.42</v>
      </c>
    </row>
    <row r="67" spans="1:6" hidden="1" x14ac:dyDescent="0.3">
      <c r="A67" s="1">
        <v>28549</v>
      </c>
      <c r="B67" s="3">
        <v>8.4</v>
      </c>
      <c r="C67" s="3">
        <v>8.0399999999999991</v>
      </c>
      <c r="D67" s="3">
        <v>63</v>
      </c>
      <c r="E67" s="3">
        <v>8.36</v>
      </c>
      <c r="F67" s="3">
        <v>6.42</v>
      </c>
    </row>
    <row r="68" spans="1:6" hidden="1" x14ac:dyDescent="0.3">
      <c r="A68" s="1">
        <v>28580</v>
      </c>
      <c r="B68" s="3">
        <v>8.5</v>
      </c>
      <c r="C68" s="3">
        <v>8.15</v>
      </c>
      <c r="D68" s="3">
        <v>63.4</v>
      </c>
      <c r="E68" s="3">
        <v>8.4600000000000009</v>
      </c>
      <c r="F68" s="3">
        <v>6.47</v>
      </c>
    </row>
    <row r="69" spans="1:6" hidden="1" x14ac:dyDescent="0.3">
      <c r="A69" s="1">
        <v>28608</v>
      </c>
      <c r="B69" s="3">
        <v>9.1999999999999993</v>
      </c>
      <c r="C69" s="3">
        <v>8.24</v>
      </c>
      <c r="D69" s="3">
        <v>63.9</v>
      </c>
      <c r="E69" s="3">
        <v>8.4600000000000009</v>
      </c>
      <c r="F69" s="3">
        <v>6.35</v>
      </c>
    </row>
    <row r="70" spans="1:6" hidden="1" x14ac:dyDescent="0.3">
      <c r="A70" s="1">
        <v>28641</v>
      </c>
      <c r="B70" s="3">
        <v>9.1999999999999993</v>
      </c>
      <c r="C70" s="3">
        <v>8.42</v>
      </c>
      <c r="D70" s="3">
        <v>64.5</v>
      </c>
      <c r="E70" s="3">
        <v>8.5</v>
      </c>
      <c r="F70" s="3">
        <v>6.65</v>
      </c>
    </row>
    <row r="71" spans="1:6" hidden="1" x14ac:dyDescent="0.3">
      <c r="A71" s="1">
        <v>28671</v>
      </c>
      <c r="B71" s="3">
        <v>8.9</v>
      </c>
      <c r="C71" s="3">
        <v>8.6199999999999992</v>
      </c>
      <c r="D71" s="3">
        <v>65</v>
      </c>
      <c r="E71" s="3">
        <v>8.68</v>
      </c>
      <c r="F71" s="3">
        <v>7.01</v>
      </c>
    </row>
    <row r="72" spans="1:6" hidden="1" x14ac:dyDescent="0.3">
      <c r="A72" s="1">
        <v>28702</v>
      </c>
      <c r="B72" s="3">
        <v>9.4</v>
      </c>
      <c r="C72" s="3">
        <v>8.56</v>
      </c>
      <c r="D72" s="3">
        <v>65.5</v>
      </c>
      <c r="E72" s="3">
        <v>8.69</v>
      </c>
      <c r="F72" s="3">
        <v>6.76</v>
      </c>
    </row>
    <row r="73" spans="1:6" hidden="1" x14ac:dyDescent="0.3">
      <c r="A73" s="1">
        <v>28733</v>
      </c>
      <c r="B73" s="3">
        <v>9.5</v>
      </c>
      <c r="C73" s="3">
        <v>8.39</v>
      </c>
      <c r="D73" s="3">
        <v>65.900000000000006</v>
      </c>
      <c r="E73" s="3">
        <v>8.73</v>
      </c>
      <c r="F73" s="3">
        <v>7.54</v>
      </c>
    </row>
    <row r="74" spans="1:6" hidden="1" x14ac:dyDescent="0.3">
      <c r="A74" s="1">
        <v>28762</v>
      </c>
      <c r="B74" s="3">
        <v>9.4</v>
      </c>
      <c r="C74" s="3">
        <v>8.56</v>
      </c>
      <c r="D74" s="3">
        <v>66.5</v>
      </c>
      <c r="E74" s="3">
        <v>8.73</v>
      </c>
      <c r="F74" s="3">
        <v>7.98</v>
      </c>
    </row>
    <row r="75" spans="1:6" hidden="1" x14ac:dyDescent="0.3">
      <c r="A75" s="1">
        <v>28794</v>
      </c>
      <c r="B75" s="3">
        <v>8.4</v>
      </c>
      <c r="C75" s="3">
        <v>8.9600000000000009</v>
      </c>
      <c r="D75" s="3">
        <v>67.099999999999994</v>
      </c>
      <c r="E75" s="3">
        <v>8.9700000000000006</v>
      </c>
      <c r="F75" s="3">
        <v>8.75</v>
      </c>
    </row>
    <row r="76" spans="1:6" hidden="1" x14ac:dyDescent="0.3">
      <c r="A76" s="1">
        <v>28824</v>
      </c>
      <c r="B76" s="3">
        <v>8.5</v>
      </c>
      <c r="C76" s="3">
        <v>8.86</v>
      </c>
      <c r="D76" s="3">
        <v>67.5</v>
      </c>
      <c r="E76" s="3">
        <v>9</v>
      </c>
      <c r="F76" s="3">
        <v>9.01</v>
      </c>
    </row>
    <row r="77" spans="1:6" hidden="1" x14ac:dyDescent="0.3">
      <c r="A77" s="1">
        <v>28853</v>
      </c>
      <c r="B77" s="3">
        <v>8.6</v>
      </c>
      <c r="C77" s="3">
        <v>9.15</v>
      </c>
      <c r="D77" s="3">
        <v>67.900000000000006</v>
      </c>
      <c r="E77" s="3">
        <v>9</v>
      </c>
      <c r="F77" s="3">
        <v>9.26</v>
      </c>
    </row>
    <row r="78" spans="1:6" hidden="1" x14ac:dyDescent="0.3">
      <c r="A78" s="1">
        <v>28886</v>
      </c>
      <c r="B78" s="3">
        <v>8.5</v>
      </c>
      <c r="C78" s="3">
        <v>8.9499999999999993</v>
      </c>
      <c r="D78" s="3">
        <v>68.5</v>
      </c>
      <c r="E78" s="3">
        <v>9.42</v>
      </c>
      <c r="F78" s="3">
        <v>9.2899999999999991</v>
      </c>
    </row>
    <row r="79" spans="1:6" hidden="1" x14ac:dyDescent="0.3">
      <c r="A79" s="1">
        <v>28914</v>
      </c>
      <c r="B79" s="3">
        <v>8.1999999999999993</v>
      </c>
      <c r="C79" s="3">
        <v>9.17</v>
      </c>
      <c r="D79" s="3">
        <v>69.2</v>
      </c>
      <c r="E79" s="3">
        <v>9.43</v>
      </c>
      <c r="F79" s="3">
        <v>9.4499999999999993</v>
      </c>
    </row>
    <row r="80" spans="1:6" hidden="1" x14ac:dyDescent="0.3">
      <c r="A80" s="1">
        <v>28944</v>
      </c>
      <c r="B80" s="3">
        <v>8.5</v>
      </c>
      <c r="C80" s="3">
        <v>9.11</v>
      </c>
      <c r="D80" s="3">
        <v>69.900000000000006</v>
      </c>
      <c r="E80" s="3">
        <v>9.43</v>
      </c>
      <c r="F80" s="3">
        <v>9.44</v>
      </c>
    </row>
    <row r="81" spans="1:6" hidden="1" x14ac:dyDescent="0.3">
      <c r="A81" s="1">
        <v>28975</v>
      </c>
      <c r="B81" s="3">
        <v>8.1</v>
      </c>
      <c r="C81" s="3">
        <v>9.35</v>
      </c>
      <c r="D81" s="3">
        <v>70.599999999999994</v>
      </c>
      <c r="E81" s="3">
        <v>9.9600000000000009</v>
      </c>
      <c r="F81" s="3">
        <v>9.56</v>
      </c>
    </row>
    <row r="82" spans="1:6" hidden="1" x14ac:dyDescent="0.3">
      <c r="A82" s="1">
        <v>29006</v>
      </c>
      <c r="B82" s="3">
        <v>7.9</v>
      </c>
      <c r="C82" s="3">
        <v>9.06</v>
      </c>
      <c r="D82" s="3">
        <v>71.400000000000006</v>
      </c>
      <c r="E82" s="3">
        <v>9.9700000000000006</v>
      </c>
      <c r="F82" s="3">
        <v>9.57</v>
      </c>
    </row>
    <row r="83" spans="1:6" hidden="1" x14ac:dyDescent="0.3">
      <c r="A83" s="1">
        <v>29035</v>
      </c>
      <c r="B83" s="3">
        <v>8.1</v>
      </c>
      <c r="C83" s="3">
        <v>8.81</v>
      </c>
      <c r="D83" s="3">
        <v>72.2</v>
      </c>
      <c r="E83" s="3">
        <v>9.9700000000000006</v>
      </c>
      <c r="F83" s="3">
        <v>8.9499999999999993</v>
      </c>
    </row>
    <row r="84" spans="1:6" hidden="1" x14ac:dyDescent="0.3">
      <c r="A84" s="1">
        <v>29067</v>
      </c>
      <c r="B84" s="3">
        <v>7.8</v>
      </c>
      <c r="C84" s="3">
        <v>9.01</v>
      </c>
      <c r="D84" s="3">
        <v>73</v>
      </c>
      <c r="E84" s="3">
        <v>10.34</v>
      </c>
      <c r="F84" s="3">
        <v>9.18</v>
      </c>
    </row>
    <row r="85" spans="1:6" hidden="1" x14ac:dyDescent="0.3">
      <c r="A85" s="1">
        <v>29098</v>
      </c>
      <c r="B85" s="3">
        <v>8.3000000000000007</v>
      </c>
      <c r="C85" s="3">
        <v>9.24</v>
      </c>
      <c r="D85" s="3">
        <v>73.7</v>
      </c>
      <c r="E85" s="3">
        <v>10.34</v>
      </c>
      <c r="F85" s="3">
        <v>9.81</v>
      </c>
    </row>
    <row r="86" spans="1:6" hidden="1" x14ac:dyDescent="0.3">
      <c r="A86" s="1">
        <v>29126</v>
      </c>
      <c r="B86" s="3">
        <v>8.1999999999999993</v>
      </c>
      <c r="C86" s="3">
        <v>9.44</v>
      </c>
      <c r="D86" s="3">
        <v>74.400000000000006</v>
      </c>
      <c r="E86" s="3">
        <v>10.34</v>
      </c>
      <c r="F86" s="3">
        <v>10.119999999999999</v>
      </c>
    </row>
    <row r="87" spans="1:6" hidden="1" x14ac:dyDescent="0.3">
      <c r="A87" s="1">
        <v>29159</v>
      </c>
      <c r="B87" s="3">
        <v>7.3</v>
      </c>
      <c r="C87" s="3">
        <v>10.72</v>
      </c>
      <c r="D87" s="3">
        <v>75.2</v>
      </c>
      <c r="E87" s="3">
        <v>10.76</v>
      </c>
      <c r="F87" s="3">
        <v>12.12</v>
      </c>
    </row>
    <row r="88" spans="1:6" hidden="1" x14ac:dyDescent="0.3">
      <c r="A88" s="1">
        <v>29189</v>
      </c>
      <c r="B88" s="3">
        <v>7.6</v>
      </c>
      <c r="C88" s="3">
        <v>10.38</v>
      </c>
      <c r="D88" s="3">
        <v>76</v>
      </c>
      <c r="E88" s="3">
        <v>10.78</v>
      </c>
      <c r="F88" s="3">
        <v>11.49</v>
      </c>
    </row>
    <row r="89" spans="1:6" hidden="1" x14ac:dyDescent="0.3">
      <c r="A89" s="1">
        <v>29220</v>
      </c>
      <c r="B89" s="3">
        <v>7.5</v>
      </c>
      <c r="C89" s="3">
        <v>10.33</v>
      </c>
      <c r="D89" s="3">
        <v>76.900000000000006</v>
      </c>
      <c r="E89" s="3">
        <v>10.93</v>
      </c>
      <c r="F89" s="3">
        <v>12.04</v>
      </c>
    </row>
    <row r="90" spans="1:6" hidden="1" x14ac:dyDescent="0.3">
      <c r="A90" s="1">
        <v>29251</v>
      </c>
      <c r="B90" s="3">
        <v>7.9</v>
      </c>
      <c r="C90" s="3">
        <v>11.13</v>
      </c>
      <c r="D90" s="3">
        <v>78</v>
      </c>
      <c r="E90" s="3">
        <v>10.9</v>
      </c>
      <c r="F90" s="3">
        <v>12</v>
      </c>
    </row>
    <row r="91" spans="1:6" hidden="1" x14ac:dyDescent="0.3">
      <c r="A91" s="1">
        <v>29280</v>
      </c>
      <c r="B91" s="3">
        <v>7.7</v>
      </c>
      <c r="C91" s="3">
        <v>12.72</v>
      </c>
      <c r="D91" s="3">
        <v>79</v>
      </c>
      <c r="E91" s="3">
        <v>10.92</v>
      </c>
      <c r="F91" s="3">
        <v>14.01</v>
      </c>
    </row>
    <row r="92" spans="1:6" hidden="1" x14ac:dyDescent="0.3">
      <c r="A92" s="1">
        <v>29311</v>
      </c>
      <c r="B92" s="3">
        <v>6.9</v>
      </c>
      <c r="C92" s="3">
        <v>12.64</v>
      </c>
      <c r="D92" s="3">
        <v>80.099999999999994</v>
      </c>
      <c r="E92" s="3">
        <v>11.22</v>
      </c>
      <c r="F92" s="3">
        <v>14.24</v>
      </c>
    </row>
    <row r="93" spans="1:6" hidden="1" x14ac:dyDescent="0.3">
      <c r="A93" s="1">
        <v>29341</v>
      </c>
      <c r="B93" s="3">
        <v>7.2</v>
      </c>
      <c r="C93" s="3">
        <v>10.76</v>
      </c>
      <c r="D93" s="3">
        <v>80.900000000000006</v>
      </c>
      <c r="E93" s="3">
        <v>11.19</v>
      </c>
      <c r="F93" s="3">
        <v>10.39</v>
      </c>
    </row>
    <row r="94" spans="1:6" hidden="1" x14ac:dyDescent="0.3">
      <c r="A94" s="1">
        <v>29371</v>
      </c>
      <c r="B94" s="3">
        <v>7.5</v>
      </c>
      <c r="C94" s="3">
        <v>10.25</v>
      </c>
      <c r="D94" s="3">
        <v>81.7</v>
      </c>
      <c r="E94" s="3">
        <v>11.19</v>
      </c>
      <c r="F94" s="3">
        <v>7.75</v>
      </c>
    </row>
    <row r="95" spans="1:6" hidden="1" x14ac:dyDescent="0.3">
      <c r="A95" s="1">
        <v>29402</v>
      </c>
      <c r="B95" s="3">
        <v>7.7</v>
      </c>
      <c r="C95" s="3">
        <v>10.09</v>
      </c>
      <c r="D95" s="3">
        <v>82.5</v>
      </c>
      <c r="E95" s="3">
        <v>11.13</v>
      </c>
      <c r="F95" s="3">
        <v>7.88</v>
      </c>
    </row>
    <row r="96" spans="1:6" hidden="1" x14ac:dyDescent="0.3">
      <c r="A96" s="1">
        <v>29433</v>
      </c>
      <c r="B96" s="3">
        <v>8.1999999999999993</v>
      </c>
      <c r="C96" s="3">
        <v>10.76</v>
      </c>
      <c r="D96" s="3">
        <v>82.6</v>
      </c>
      <c r="E96" s="3">
        <v>11.12</v>
      </c>
      <c r="F96" s="3">
        <v>8.6199999999999992</v>
      </c>
    </row>
    <row r="97" spans="1:6" hidden="1" x14ac:dyDescent="0.3">
      <c r="A97" s="1">
        <v>29462</v>
      </c>
      <c r="B97" s="3">
        <v>8.1999999999999993</v>
      </c>
      <c r="C97" s="3">
        <v>11.55</v>
      </c>
      <c r="D97" s="3">
        <v>83.2</v>
      </c>
      <c r="E97" s="3">
        <v>11.12</v>
      </c>
      <c r="F97" s="3">
        <v>9.9600000000000009</v>
      </c>
    </row>
    <row r="98" spans="1:6" hidden="1" x14ac:dyDescent="0.3">
      <c r="A98" s="1">
        <v>29494</v>
      </c>
      <c r="B98" s="3">
        <v>8.1999999999999993</v>
      </c>
      <c r="C98" s="3">
        <v>11.86</v>
      </c>
      <c r="D98" s="3">
        <v>83.9</v>
      </c>
      <c r="E98" s="3">
        <v>11.26</v>
      </c>
      <c r="F98" s="3">
        <v>11.44</v>
      </c>
    </row>
    <row r="99" spans="1:6" hidden="1" x14ac:dyDescent="0.3">
      <c r="A99" s="1">
        <v>29525</v>
      </c>
      <c r="B99" s="3">
        <v>8.3000000000000007</v>
      </c>
      <c r="C99" s="3">
        <v>12.46</v>
      </c>
      <c r="D99" s="3">
        <v>84.7</v>
      </c>
      <c r="E99" s="3">
        <v>11.24</v>
      </c>
      <c r="F99" s="3">
        <v>12.71</v>
      </c>
    </row>
    <row r="100" spans="1:6" hidden="1" x14ac:dyDescent="0.3">
      <c r="A100" s="1">
        <v>29553</v>
      </c>
      <c r="B100" s="3">
        <v>8.9</v>
      </c>
      <c r="C100" s="3">
        <v>12.72</v>
      </c>
      <c r="D100" s="3">
        <v>85.6</v>
      </c>
      <c r="E100" s="3">
        <v>11.24</v>
      </c>
      <c r="F100" s="3">
        <v>14.48</v>
      </c>
    </row>
    <row r="101" spans="1:6" hidden="1" x14ac:dyDescent="0.3">
      <c r="A101" s="1">
        <v>29586</v>
      </c>
      <c r="B101" s="3">
        <v>8.6</v>
      </c>
      <c r="C101" s="3">
        <v>12.43</v>
      </c>
      <c r="D101" s="3">
        <v>86.4</v>
      </c>
      <c r="E101" s="3">
        <v>11.38</v>
      </c>
      <c r="F101" s="3">
        <v>14.3</v>
      </c>
    </row>
    <row r="102" spans="1:6" hidden="1" x14ac:dyDescent="0.3">
      <c r="A102" s="1">
        <v>29616</v>
      </c>
      <c r="B102" s="3">
        <v>8.3000000000000007</v>
      </c>
      <c r="C102" s="3">
        <v>12.68</v>
      </c>
      <c r="D102" s="3">
        <v>87.2</v>
      </c>
      <c r="E102" s="3">
        <v>11.39</v>
      </c>
      <c r="F102" s="3">
        <v>14.59</v>
      </c>
    </row>
    <row r="103" spans="1:6" hidden="1" x14ac:dyDescent="0.3">
      <c r="A103" s="1">
        <v>29644</v>
      </c>
      <c r="B103" s="3">
        <v>8.5</v>
      </c>
      <c r="C103" s="3">
        <v>13.43</v>
      </c>
      <c r="D103" s="3">
        <v>88</v>
      </c>
      <c r="E103" s="3">
        <v>11.41</v>
      </c>
      <c r="F103" s="3">
        <v>14.22</v>
      </c>
    </row>
    <row r="104" spans="1:6" hidden="1" x14ac:dyDescent="0.3">
      <c r="A104" s="1">
        <v>29676</v>
      </c>
      <c r="B104" s="3">
        <v>8.8000000000000007</v>
      </c>
      <c r="C104" s="3">
        <v>13.13</v>
      </c>
      <c r="D104" s="3">
        <v>88.6</v>
      </c>
      <c r="E104" s="3">
        <v>11.26</v>
      </c>
      <c r="F104" s="3">
        <v>12.46</v>
      </c>
    </row>
    <row r="105" spans="1:6" hidden="1" x14ac:dyDescent="0.3">
      <c r="A105" s="1">
        <v>29706</v>
      </c>
      <c r="B105" s="3">
        <v>8.6999999999999993</v>
      </c>
      <c r="C105" s="3">
        <v>14.11</v>
      </c>
      <c r="D105" s="3">
        <v>89.1</v>
      </c>
      <c r="E105" s="3">
        <v>11.27</v>
      </c>
      <c r="F105" s="3">
        <v>14.86</v>
      </c>
    </row>
    <row r="106" spans="1:6" hidden="1" x14ac:dyDescent="0.3">
      <c r="A106" s="1">
        <v>29735</v>
      </c>
      <c r="B106" s="3">
        <v>8.6999999999999993</v>
      </c>
      <c r="C106" s="3">
        <v>13.5</v>
      </c>
      <c r="D106" s="3">
        <v>89.7</v>
      </c>
      <c r="E106" s="3">
        <v>11.26</v>
      </c>
      <c r="F106" s="3">
        <v>15.1</v>
      </c>
    </row>
    <row r="107" spans="1:6" hidden="1" x14ac:dyDescent="0.3">
      <c r="A107" s="1">
        <v>29767</v>
      </c>
      <c r="B107" s="3">
        <v>8.4</v>
      </c>
      <c r="C107" s="3">
        <v>13.86</v>
      </c>
      <c r="D107" s="3">
        <v>90.5</v>
      </c>
      <c r="E107" s="3">
        <v>11.52</v>
      </c>
      <c r="F107" s="3">
        <v>14.28</v>
      </c>
    </row>
    <row r="108" spans="1:6" hidden="1" x14ac:dyDescent="0.3">
      <c r="A108" s="1">
        <v>29798</v>
      </c>
      <c r="B108" s="3">
        <v>8.3000000000000007</v>
      </c>
      <c r="C108" s="3">
        <v>14.67</v>
      </c>
      <c r="D108" s="3">
        <v>91.5</v>
      </c>
      <c r="E108" s="3">
        <v>11.53</v>
      </c>
      <c r="F108" s="3">
        <v>14.87</v>
      </c>
    </row>
    <row r="109" spans="1:6" hidden="1" x14ac:dyDescent="0.3">
      <c r="A109" s="1">
        <v>29829</v>
      </c>
      <c r="B109" s="3">
        <v>7.8</v>
      </c>
      <c r="C109" s="3">
        <v>15.41</v>
      </c>
      <c r="D109" s="3">
        <v>92.2</v>
      </c>
      <c r="E109" s="3">
        <v>11.55</v>
      </c>
      <c r="F109" s="3">
        <v>15.52</v>
      </c>
    </row>
    <row r="110" spans="1:6" hidden="1" x14ac:dyDescent="0.3">
      <c r="A110" s="1">
        <v>29859</v>
      </c>
      <c r="B110" s="3">
        <v>7.5</v>
      </c>
      <c r="C110" s="3">
        <v>15.84</v>
      </c>
      <c r="D110" s="3">
        <v>93.1</v>
      </c>
      <c r="E110" s="3">
        <v>11.49</v>
      </c>
      <c r="F110" s="3">
        <v>14.34</v>
      </c>
    </row>
    <row r="111" spans="1:6" hidden="1" x14ac:dyDescent="0.3">
      <c r="A111" s="1">
        <v>29889</v>
      </c>
      <c r="B111" s="3">
        <v>7.9</v>
      </c>
      <c r="C111" s="3">
        <v>14.63</v>
      </c>
      <c r="D111" s="3">
        <v>93.4</v>
      </c>
      <c r="E111" s="3">
        <v>11.49</v>
      </c>
      <c r="F111" s="3">
        <v>12.75</v>
      </c>
    </row>
    <row r="112" spans="1:6" hidden="1" x14ac:dyDescent="0.3">
      <c r="A112" s="1">
        <v>29920</v>
      </c>
      <c r="B112" s="3">
        <v>8.1999999999999993</v>
      </c>
      <c r="C112" s="3">
        <v>13.13</v>
      </c>
      <c r="D112" s="3">
        <v>93.8</v>
      </c>
      <c r="E112" s="3">
        <v>11.52</v>
      </c>
      <c r="F112" s="3">
        <v>10.37</v>
      </c>
    </row>
    <row r="113" spans="1:10" hidden="1" x14ac:dyDescent="0.3">
      <c r="A113" s="1">
        <v>29951</v>
      </c>
      <c r="B113" s="3">
        <v>8</v>
      </c>
      <c r="C113" s="3">
        <v>13.98</v>
      </c>
      <c r="D113" s="3">
        <v>94.1</v>
      </c>
      <c r="E113" s="3">
        <v>11.52</v>
      </c>
      <c r="F113" s="3">
        <v>11.08</v>
      </c>
    </row>
    <row r="114" spans="1:10" hidden="1" x14ac:dyDescent="0.3">
      <c r="A114" s="1">
        <v>29980</v>
      </c>
      <c r="B114" s="3">
        <v>7.9</v>
      </c>
      <c r="C114" s="3">
        <v>14.14</v>
      </c>
      <c r="D114" s="3">
        <v>94.4</v>
      </c>
      <c r="E114" s="3">
        <v>11.52</v>
      </c>
      <c r="F114" s="3">
        <v>12.52</v>
      </c>
    </row>
    <row r="115" spans="1:10" hidden="1" x14ac:dyDescent="0.3">
      <c r="A115" s="1">
        <v>30008</v>
      </c>
      <c r="B115" s="3">
        <v>7.5</v>
      </c>
      <c r="C115" s="3">
        <v>14.03</v>
      </c>
      <c r="D115" s="3">
        <v>94.7</v>
      </c>
      <c r="E115" s="3">
        <v>11.54</v>
      </c>
      <c r="F115" s="3">
        <v>12.44</v>
      </c>
    </row>
    <row r="116" spans="1:10" hidden="1" x14ac:dyDescent="0.3">
      <c r="A116" s="1">
        <v>30041</v>
      </c>
      <c r="B116" s="3">
        <v>7.7</v>
      </c>
      <c r="C116" s="3">
        <v>14.18</v>
      </c>
      <c r="D116" s="3">
        <v>94.7</v>
      </c>
      <c r="E116" s="3">
        <v>11.24</v>
      </c>
      <c r="F116" s="3">
        <v>13.26</v>
      </c>
    </row>
    <row r="117" spans="1:10" hidden="1" x14ac:dyDescent="0.3">
      <c r="A117" s="1">
        <v>30071</v>
      </c>
      <c r="B117" s="3">
        <v>8</v>
      </c>
      <c r="C117" s="3">
        <v>13.87</v>
      </c>
      <c r="D117" s="3">
        <v>95</v>
      </c>
      <c r="E117" s="3">
        <v>11.25</v>
      </c>
      <c r="F117" s="3">
        <v>12.34</v>
      </c>
    </row>
    <row r="118" spans="1:10" hidden="1" x14ac:dyDescent="0.3">
      <c r="A118" s="1">
        <v>30102</v>
      </c>
      <c r="B118" s="3">
        <v>7.7</v>
      </c>
      <c r="C118" s="3">
        <v>13.71</v>
      </c>
      <c r="D118" s="3">
        <v>95.9</v>
      </c>
      <c r="E118" s="3">
        <v>11.27</v>
      </c>
      <c r="F118" s="3">
        <v>11.5</v>
      </c>
    </row>
    <row r="119" spans="1:10" hidden="1" x14ac:dyDescent="0.3">
      <c r="A119" s="1">
        <v>30132</v>
      </c>
      <c r="B119" s="3">
        <v>7.8</v>
      </c>
      <c r="C119" s="3">
        <v>14.44</v>
      </c>
      <c r="D119" s="3">
        <v>97</v>
      </c>
      <c r="E119" s="3">
        <v>10.93</v>
      </c>
      <c r="F119" s="3">
        <v>12.76</v>
      </c>
    </row>
    <row r="120" spans="1:10" hidden="1" x14ac:dyDescent="0.3">
      <c r="A120" s="1">
        <v>30162</v>
      </c>
      <c r="B120" s="3">
        <v>7.7</v>
      </c>
      <c r="C120" s="3">
        <v>13.68</v>
      </c>
      <c r="D120" s="3">
        <v>97.5</v>
      </c>
      <c r="E120" s="3">
        <v>10.92</v>
      </c>
      <c r="F120" s="3">
        <v>10.17</v>
      </c>
    </row>
    <row r="121" spans="1:10" hidden="1" x14ac:dyDescent="0.3">
      <c r="A121" s="1">
        <v>30194</v>
      </c>
      <c r="B121" s="3">
        <v>8.6</v>
      </c>
      <c r="C121" s="3">
        <v>12.81</v>
      </c>
      <c r="D121" s="3">
        <v>97.7</v>
      </c>
      <c r="E121" s="3">
        <v>10.94</v>
      </c>
      <c r="F121" s="3">
        <v>8.42</v>
      </c>
    </row>
    <row r="122" spans="1:10" hidden="1" x14ac:dyDescent="0.3">
      <c r="A122" s="1">
        <v>30224</v>
      </c>
      <c r="B122" s="3">
        <v>8.6</v>
      </c>
      <c r="C122" s="3">
        <v>11.73</v>
      </c>
      <c r="D122" s="3">
        <v>97.7</v>
      </c>
      <c r="E122" s="3">
        <v>10.97</v>
      </c>
      <c r="F122" s="3">
        <v>7.62</v>
      </c>
    </row>
    <row r="123" spans="1:10" hidden="1" x14ac:dyDescent="0.3">
      <c r="A123" s="1">
        <v>30253</v>
      </c>
      <c r="B123" s="3">
        <v>9.6</v>
      </c>
      <c r="C123" s="3">
        <v>10.71</v>
      </c>
      <c r="D123" s="3">
        <v>98.1</v>
      </c>
      <c r="E123" s="3">
        <v>10.97</v>
      </c>
      <c r="F123" s="3">
        <v>7.9</v>
      </c>
    </row>
    <row r="124" spans="1:10" hidden="1" x14ac:dyDescent="0.3">
      <c r="A124" s="1">
        <v>30285</v>
      </c>
      <c r="B124" s="3">
        <v>10</v>
      </c>
      <c r="C124" s="3">
        <v>10.79</v>
      </c>
      <c r="D124" s="3">
        <v>98</v>
      </c>
      <c r="E124" s="3">
        <v>10.99</v>
      </c>
      <c r="F124" s="3">
        <v>8.2799999999999994</v>
      </c>
    </row>
    <row r="125" spans="1:10" s="7" customFormat="1" hidden="1" x14ac:dyDescent="0.3">
      <c r="A125" s="5">
        <v>30316</v>
      </c>
      <c r="B125" s="6">
        <v>10.3</v>
      </c>
      <c r="C125" s="6">
        <v>10.36</v>
      </c>
      <c r="D125" s="6">
        <v>97.7</v>
      </c>
      <c r="E125" s="6">
        <v>10.79</v>
      </c>
      <c r="F125" s="6">
        <v>7.92</v>
      </c>
      <c r="G125" s="6"/>
      <c r="H125" s="10"/>
    </row>
    <row r="126" spans="1:10" x14ac:dyDescent="0.3">
      <c r="A126" s="1">
        <v>30347</v>
      </c>
      <c r="B126" s="3">
        <v>10.6</v>
      </c>
      <c r="C126" s="3">
        <v>10.8</v>
      </c>
      <c r="D126" s="3">
        <v>97.9</v>
      </c>
      <c r="E126" s="3">
        <v>10.79</v>
      </c>
      <c r="F126" s="3">
        <v>8.1</v>
      </c>
      <c r="H126" s="8">
        <f>G138</f>
        <v>0.12140871177015766</v>
      </c>
      <c r="I126" s="4">
        <f>C126%-((D126/D6)^(1/10)-1)</f>
        <v>2.1485612237225699E-2</v>
      </c>
      <c r="J126" s="4">
        <f>(C126-F126)%</f>
        <v>2.700000000000001E-2</v>
      </c>
    </row>
    <row r="127" spans="1:10" x14ac:dyDescent="0.3">
      <c r="A127" s="1">
        <v>30375</v>
      </c>
      <c r="B127" s="3">
        <v>10.8</v>
      </c>
      <c r="C127" s="3">
        <v>10.27</v>
      </c>
      <c r="D127" s="3">
        <v>98</v>
      </c>
      <c r="E127" s="3">
        <v>10.8</v>
      </c>
      <c r="F127" s="3">
        <v>7.93</v>
      </c>
      <c r="H127" s="8">
        <f t="shared" ref="H127:H190" si="0">G139</f>
        <v>0.12314814814814823</v>
      </c>
      <c r="I127" s="4">
        <f t="shared" ref="I127:I190" si="1">C127%-((D127/D7)^(1/10)-1)</f>
        <v>1.6835182528162948E-2</v>
      </c>
      <c r="J127" s="4">
        <f t="shared" ref="J127:J190" si="2">(C127-F127)%</f>
        <v>2.3399999999999997E-2</v>
      </c>
    </row>
    <row r="128" spans="1:10" x14ac:dyDescent="0.3">
      <c r="A128" s="1">
        <v>30406</v>
      </c>
      <c r="B128" s="3">
        <v>11.1</v>
      </c>
      <c r="C128" s="3">
        <v>10.62</v>
      </c>
      <c r="D128" s="3">
        <v>98.1</v>
      </c>
      <c r="E128" s="3">
        <v>10.82</v>
      </c>
      <c r="F128" s="3">
        <v>8.64</v>
      </c>
      <c r="H128" s="8">
        <f t="shared" si="0"/>
        <v>0.12199630314232901</v>
      </c>
      <c r="I128" s="4">
        <f t="shared" si="1"/>
        <v>2.1229505572635171E-2</v>
      </c>
      <c r="J128" s="4">
        <f t="shared" si="2"/>
        <v>1.9799999999999988E-2</v>
      </c>
    </row>
    <row r="129" spans="1:10" x14ac:dyDescent="0.3">
      <c r="A129" s="1">
        <v>30435</v>
      </c>
      <c r="B129" s="3">
        <v>11.9</v>
      </c>
      <c r="C129" s="3">
        <v>10.27</v>
      </c>
      <c r="D129" s="3">
        <v>98.8</v>
      </c>
      <c r="E129" s="3">
        <v>10.81</v>
      </c>
      <c r="F129" s="3">
        <v>8.08</v>
      </c>
      <c r="H129" s="8">
        <f t="shared" si="0"/>
        <v>0.18316373728029589</v>
      </c>
      <c r="I129" s="4">
        <f t="shared" si="1"/>
        <v>1.7705464835244142E-2</v>
      </c>
      <c r="J129" s="4">
        <f t="shared" si="2"/>
        <v>2.1899999999999996E-2</v>
      </c>
    </row>
    <row r="130" spans="1:10" x14ac:dyDescent="0.3">
      <c r="A130" s="1">
        <v>30467</v>
      </c>
      <c r="B130" s="3">
        <v>11.6</v>
      </c>
      <c r="C130" s="3">
        <v>10.81</v>
      </c>
      <c r="D130" s="3">
        <v>99.2</v>
      </c>
      <c r="E130" s="3">
        <v>10.82</v>
      </c>
      <c r="F130" s="3">
        <v>8.6300000000000008</v>
      </c>
      <c r="H130" s="8">
        <f t="shared" si="0"/>
        <v>0.20425138632162643</v>
      </c>
      <c r="I130" s="4">
        <f t="shared" si="1"/>
        <v>2.3162513264077728E-2</v>
      </c>
      <c r="J130" s="4">
        <f t="shared" si="2"/>
        <v>2.1799999999999996E-2</v>
      </c>
    </row>
    <row r="131" spans="1:10" x14ac:dyDescent="0.3">
      <c r="A131" s="1">
        <v>30497</v>
      </c>
      <c r="B131" s="3">
        <v>11.7</v>
      </c>
      <c r="C131" s="3">
        <v>10.96</v>
      </c>
      <c r="D131" s="3">
        <v>99.4</v>
      </c>
      <c r="E131" s="3">
        <v>11.09</v>
      </c>
      <c r="F131" s="3">
        <v>8.7899999999999991</v>
      </c>
      <c r="H131" s="8">
        <f t="shared" si="0"/>
        <v>0.17493237150586105</v>
      </c>
      <c r="I131" s="4">
        <f t="shared" si="1"/>
        <v>2.5182764609488734E-2</v>
      </c>
      <c r="J131" s="4">
        <f t="shared" si="2"/>
        <v>2.1700000000000018E-2</v>
      </c>
    </row>
    <row r="132" spans="1:10" x14ac:dyDescent="0.3">
      <c r="A132" s="1">
        <v>30526</v>
      </c>
      <c r="B132" s="3">
        <v>11.3</v>
      </c>
      <c r="C132" s="3">
        <v>11.76</v>
      </c>
      <c r="D132" s="3">
        <v>99.8</v>
      </c>
      <c r="E132" s="3">
        <v>11.09</v>
      </c>
      <c r="F132" s="3">
        <v>9.2200000000000006</v>
      </c>
      <c r="H132" s="8">
        <f t="shared" si="0"/>
        <v>0.21731289449954927</v>
      </c>
      <c r="I132" s="4">
        <f t="shared" si="1"/>
        <v>3.2747167630723897E-2</v>
      </c>
      <c r="J132" s="4">
        <f t="shared" si="2"/>
        <v>2.5399999999999992E-2</v>
      </c>
    </row>
    <row r="133" spans="1:10" x14ac:dyDescent="0.3">
      <c r="A133" s="1">
        <v>30559</v>
      </c>
      <c r="B133" s="3">
        <v>11.4</v>
      </c>
      <c r="C133" s="3">
        <v>11.98</v>
      </c>
      <c r="D133" s="3">
        <v>100.1</v>
      </c>
      <c r="E133" s="3">
        <v>11.12</v>
      </c>
      <c r="F133" s="3">
        <v>9.26</v>
      </c>
      <c r="H133" s="8">
        <f t="shared" si="0"/>
        <v>0.21492805755395694</v>
      </c>
      <c r="I133" s="4">
        <f t="shared" si="1"/>
        <v>3.6566315769989685E-2</v>
      </c>
      <c r="J133" s="4">
        <f t="shared" si="2"/>
        <v>2.7200000000000005E-2</v>
      </c>
    </row>
    <row r="134" spans="1:10" x14ac:dyDescent="0.3">
      <c r="A134" s="1">
        <v>30589</v>
      </c>
      <c r="B134" s="3">
        <v>11.3</v>
      </c>
      <c r="C134" s="3">
        <v>11.44</v>
      </c>
      <c r="D134" s="3">
        <v>100.4</v>
      </c>
      <c r="E134" s="3">
        <v>11.45</v>
      </c>
      <c r="F134" s="3">
        <v>8.7100000000000009</v>
      </c>
      <c r="H134" s="8">
        <f t="shared" si="0"/>
        <v>0.17991266375545867</v>
      </c>
      <c r="I134" s="4">
        <f t="shared" si="1"/>
        <v>3.1322515051233235E-2</v>
      </c>
      <c r="J134" s="4">
        <f t="shared" si="2"/>
        <v>2.7299999999999987E-2</v>
      </c>
    </row>
    <row r="135" spans="1:10" x14ac:dyDescent="0.3">
      <c r="A135" s="1">
        <v>30620</v>
      </c>
      <c r="B135" s="3">
        <v>11.1</v>
      </c>
      <c r="C135" s="3">
        <v>11.74</v>
      </c>
      <c r="D135" s="3">
        <v>100.8</v>
      </c>
      <c r="E135" s="3">
        <v>11.48</v>
      </c>
      <c r="F135" s="3">
        <v>8.51</v>
      </c>
      <c r="H135" s="8">
        <f t="shared" si="0"/>
        <v>0.18902439024390238</v>
      </c>
      <c r="I135" s="4">
        <f t="shared" si="1"/>
        <v>3.484600028707413E-2</v>
      </c>
      <c r="J135" s="4">
        <f t="shared" si="2"/>
        <v>3.2300000000000002E-2</v>
      </c>
    </row>
    <row r="136" spans="1:10" x14ac:dyDescent="0.3">
      <c r="A136" s="1">
        <v>30650</v>
      </c>
      <c r="B136" s="3">
        <v>11.2</v>
      </c>
      <c r="C136" s="3">
        <v>11.63</v>
      </c>
      <c r="D136" s="3">
        <v>101.1</v>
      </c>
      <c r="E136" s="3">
        <v>11.56</v>
      </c>
      <c r="F136" s="3">
        <v>8.8800000000000008</v>
      </c>
      <c r="H136" s="8">
        <f t="shared" si="0"/>
        <v>0.18166089965397925</v>
      </c>
      <c r="I136" s="4">
        <f t="shared" si="1"/>
        <v>3.4134094531590164E-2</v>
      </c>
      <c r="J136" s="4">
        <f t="shared" si="2"/>
        <v>2.75E-2</v>
      </c>
    </row>
    <row r="137" spans="1:10" x14ac:dyDescent="0.3">
      <c r="A137" s="1">
        <v>30680</v>
      </c>
      <c r="B137" s="3">
        <v>11.1</v>
      </c>
      <c r="C137" s="3">
        <v>11.82</v>
      </c>
      <c r="D137" s="3">
        <v>101.4</v>
      </c>
      <c r="E137" s="3">
        <v>11.6</v>
      </c>
      <c r="F137" s="3">
        <v>8.9700000000000006</v>
      </c>
      <c r="H137" s="8">
        <f t="shared" si="0"/>
        <v>0.17327586206896561</v>
      </c>
      <c r="I137" s="4">
        <f t="shared" si="1"/>
        <v>3.6652254403057555E-2</v>
      </c>
      <c r="J137" s="4">
        <f t="shared" si="2"/>
        <v>2.8499999999999998E-2</v>
      </c>
    </row>
    <row r="138" spans="1:10" x14ac:dyDescent="0.3">
      <c r="A138" s="1">
        <v>30712</v>
      </c>
      <c r="B138" s="3">
        <v>10.5</v>
      </c>
      <c r="C138" s="3">
        <v>11.67</v>
      </c>
      <c r="D138" s="3">
        <v>102.1</v>
      </c>
      <c r="E138" s="3">
        <v>12.1</v>
      </c>
      <c r="F138" s="3">
        <v>8.89</v>
      </c>
      <c r="G138" s="9">
        <f>E138/E126-1</f>
        <v>0.12140871177015766</v>
      </c>
      <c r="H138" s="8">
        <f t="shared" si="0"/>
        <v>0.12561983471074378</v>
      </c>
      <c r="I138" s="4">
        <f t="shared" si="1"/>
        <v>3.5569825096136237E-2</v>
      </c>
      <c r="J138" s="4">
        <f t="shared" si="2"/>
        <v>2.7799999999999995E-2</v>
      </c>
    </row>
    <row r="139" spans="1:10" x14ac:dyDescent="0.3">
      <c r="A139" s="1">
        <v>30741</v>
      </c>
      <c r="B139" s="3">
        <v>10</v>
      </c>
      <c r="C139" s="3">
        <v>12.04</v>
      </c>
      <c r="D139" s="3">
        <v>102.6</v>
      </c>
      <c r="E139" s="3">
        <v>12.13</v>
      </c>
      <c r="F139" s="3">
        <v>9.14</v>
      </c>
      <c r="G139" s="9">
        <f t="shared" ref="G139:G202" si="3">E139/E127-1</f>
        <v>0.12314814814814823</v>
      </c>
      <c r="H139" s="8">
        <f t="shared" si="0"/>
        <v>0.11624072547403119</v>
      </c>
      <c r="I139" s="4">
        <f t="shared" si="1"/>
        <v>3.9890419424345611E-2</v>
      </c>
      <c r="J139" s="4">
        <f t="shared" si="2"/>
        <v>2.8999999999999984E-2</v>
      </c>
    </row>
    <row r="140" spans="1:10" x14ac:dyDescent="0.3">
      <c r="A140" s="1">
        <v>30771</v>
      </c>
      <c r="B140" s="3">
        <v>10.1</v>
      </c>
      <c r="C140" s="3">
        <v>12.53</v>
      </c>
      <c r="D140" s="3">
        <v>102.9</v>
      </c>
      <c r="E140" s="3">
        <v>12.14</v>
      </c>
      <c r="F140" s="3">
        <v>9.7200000000000006</v>
      </c>
      <c r="G140" s="9">
        <f t="shared" si="3"/>
        <v>0.12199630314232901</v>
      </c>
      <c r="H140" s="8">
        <f t="shared" si="0"/>
        <v>0.11449752883031294</v>
      </c>
      <c r="I140" s="4">
        <f t="shared" si="1"/>
        <v>4.561082333005409E-2</v>
      </c>
      <c r="J140" s="4">
        <f t="shared" si="2"/>
        <v>2.8099999999999986E-2</v>
      </c>
    </row>
    <row r="141" spans="1:10" x14ac:dyDescent="0.3">
      <c r="A141" s="1">
        <v>30802</v>
      </c>
      <c r="B141" s="3">
        <v>9.6</v>
      </c>
      <c r="C141" s="3">
        <v>12.82</v>
      </c>
      <c r="D141" s="3">
        <v>103.3</v>
      </c>
      <c r="E141" s="3">
        <v>12.79</v>
      </c>
      <c r="F141" s="3">
        <v>9.7200000000000006</v>
      </c>
      <c r="G141" s="9">
        <f t="shared" si="3"/>
        <v>0.18316373728029589</v>
      </c>
      <c r="H141" s="8">
        <f t="shared" si="0"/>
        <v>3.8311180609851503E-2</v>
      </c>
      <c r="I141" s="4">
        <f t="shared" si="1"/>
        <v>4.8767413826453915E-2</v>
      </c>
      <c r="J141" s="4">
        <f t="shared" si="2"/>
        <v>3.0999999999999996E-2</v>
      </c>
    </row>
    <row r="142" spans="1:10" x14ac:dyDescent="0.3">
      <c r="A142" s="1">
        <v>30833</v>
      </c>
      <c r="B142" s="3">
        <v>8.9</v>
      </c>
      <c r="C142" s="3">
        <v>13.91</v>
      </c>
      <c r="D142" s="3">
        <v>103.5</v>
      </c>
      <c r="E142" s="3">
        <v>13.03</v>
      </c>
      <c r="F142" s="3">
        <v>9.75</v>
      </c>
      <c r="G142" s="9">
        <f t="shared" si="3"/>
        <v>0.20425138632162643</v>
      </c>
      <c r="H142" s="8">
        <f t="shared" si="0"/>
        <v>1.0744435917114492E-2</v>
      </c>
      <c r="I142" s="4">
        <f t="shared" si="1"/>
        <v>6.0574524091663529E-2</v>
      </c>
      <c r="J142" s="4">
        <f t="shared" si="2"/>
        <v>4.1599999999999998E-2</v>
      </c>
    </row>
    <row r="143" spans="1:10" x14ac:dyDescent="0.3">
      <c r="A143" s="1">
        <v>30862</v>
      </c>
      <c r="B143" s="3">
        <v>9.1</v>
      </c>
      <c r="C143" s="3">
        <v>13.84</v>
      </c>
      <c r="D143" s="3">
        <v>103.7</v>
      </c>
      <c r="E143" s="3">
        <v>13.03</v>
      </c>
      <c r="F143" s="3">
        <v>9.92</v>
      </c>
      <c r="G143" s="9">
        <f t="shared" si="3"/>
        <v>0.17493237150586105</v>
      </c>
      <c r="H143" s="8">
        <f t="shared" si="0"/>
        <v>1.1511895625479607E-2</v>
      </c>
      <c r="I143" s="4">
        <f t="shared" si="1"/>
        <v>6.0550144997567529E-2</v>
      </c>
      <c r="J143" s="4">
        <f t="shared" si="2"/>
        <v>3.9199999999999999E-2</v>
      </c>
    </row>
    <row r="144" spans="1:10" x14ac:dyDescent="0.3">
      <c r="A144" s="1">
        <v>30894</v>
      </c>
      <c r="B144" s="3">
        <v>8.6999999999999993</v>
      </c>
      <c r="C144" s="3">
        <v>12.91</v>
      </c>
      <c r="D144" s="3">
        <v>104.1</v>
      </c>
      <c r="E144" s="3">
        <v>13.5</v>
      </c>
      <c r="F144" s="3">
        <v>10.4</v>
      </c>
      <c r="G144" s="9">
        <f t="shared" si="3"/>
        <v>0.21731289449954927</v>
      </c>
      <c r="H144" s="8">
        <f t="shared" si="0"/>
        <v>-3.4074074074074145E-2</v>
      </c>
      <c r="I144" s="4">
        <f t="shared" si="1"/>
        <v>5.1493056630987022E-2</v>
      </c>
      <c r="J144" s="4">
        <f t="shared" si="2"/>
        <v>2.5099999999999997E-2</v>
      </c>
    </row>
    <row r="145" spans="1:10" x14ac:dyDescent="0.3">
      <c r="A145" s="1">
        <v>30925</v>
      </c>
      <c r="B145" s="3">
        <v>9.6</v>
      </c>
      <c r="C145" s="3">
        <v>12.79</v>
      </c>
      <c r="D145" s="3">
        <v>104.4</v>
      </c>
      <c r="E145" s="3">
        <v>13.51</v>
      </c>
      <c r="F145" s="3">
        <v>10.63</v>
      </c>
      <c r="G145" s="9">
        <f t="shared" si="3"/>
        <v>0.21492805755395694</v>
      </c>
      <c r="H145" s="8">
        <f t="shared" si="0"/>
        <v>-3.5529237601776509E-2</v>
      </c>
      <c r="I145" s="4">
        <f t="shared" si="1"/>
        <v>5.1286068571948146E-2</v>
      </c>
      <c r="J145" s="4">
        <f t="shared" si="2"/>
        <v>2.1599999999999984E-2</v>
      </c>
    </row>
    <row r="146" spans="1:10" x14ac:dyDescent="0.3">
      <c r="A146" s="1">
        <v>30953</v>
      </c>
      <c r="B146" s="3">
        <v>9.6</v>
      </c>
      <c r="C146" s="3">
        <v>12.47</v>
      </c>
      <c r="D146" s="3">
        <v>104.7</v>
      </c>
      <c r="E146" s="3">
        <v>13.51</v>
      </c>
      <c r="F146" s="3">
        <v>10.220000000000001</v>
      </c>
      <c r="G146" s="9">
        <f t="shared" si="3"/>
        <v>0.17991266375545867</v>
      </c>
      <c r="H146" s="8">
        <f t="shared" si="0"/>
        <v>-4.9592894152479694E-2</v>
      </c>
      <c r="I146" s="4">
        <f t="shared" si="1"/>
        <v>4.927626698838436E-2</v>
      </c>
      <c r="J146" s="4">
        <f t="shared" si="2"/>
        <v>2.2499999999999999E-2</v>
      </c>
    </row>
    <row r="147" spans="1:10" x14ac:dyDescent="0.3">
      <c r="A147" s="1">
        <v>30986</v>
      </c>
      <c r="B147" s="3">
        <v>9.5</v>
      </c>
      <c r="C147" s="3">
        <v>11.79</v>
      </c>
      <c r="D147" s="3">
        <v>105.1</v>
      </c>
      <c r="E147" s="3">
        <v>13.65</v>
      </c>
      <c r="F147" s="3">
        <v>9.01</v>
      </c>
      <c r="G147" s="9">
        <f t="shared" si="3"/>
        <v>0.18902439024390238</v>
      </c>
      <c r="H147" s="8">
        <f t="shared" si="0"/>
        <v>-5.9340659340659352E-2</v>
      </c>
      <c r="I147" s="4">
        <f t="shared" si="1"/>
        <v>4.2912896766189021E-2</v>
      </c>
      <c r="J147" s="4">
        <f t="shared" si="2"/>
        <v>2.7799999999999995E-2</v>
      </c>
    </row>
    <row r="148" spans="1:10" x14ac:dyDescent="0.3">
      <c r="A148" s="1">
        <v>31016</v>
      </c>
      <c r="B148" s="3">
        <v>9.4</v>
      </c>
      <c r="C148" s="3">
        <v>11.58</v>
      </c>
      <c r="D148" s="3">
        <v>105.3</v>
      </c>
      <c r="E148" s="3">
        <v>13.66</v>
      </c>
      <c r="F148" s="3">
        <v>8.44</v>
      </c>
      <c r="G148" s="9">
        <f t="shared" si="3"/>
        <v>0.18166089965397925</v>
      </c>
      <c r="H148" s="8">
        <f t="shared" si="0"/>
        <v>-6.0761346998535859E-2</v>
      </c>
      <c r="I148" s="4">
        <f t="shared" si="1"/>
        <v>4.1656971202175139E-2</v>
      </c>
      <c r="J148" s="4">
        <f t="shared" si="2"/>
        <v>3.1400000000000004E-2</v>
      </c>
    </row>
    <row r="149" spans="1:10" x14ac:dyDescent="0.3">
      <c r="A149" s="1">
        <v>31047</v>
      </c>
      <c r="B149" s="3">
        <v>9.6</v>
      </c>
      <c r="C149" s="3">
        <v>11.55</v>
      </c>
      <c r="D149" s="3">
        <v>105.5</v>
      </c>
      <c r="E149" s="3">
        <v>13.61</v>
      </c>
      <c r="F149" s="3">
        <v>7.85</v>
      </c>
      <c r="G149" s="9">
        <f t="shared" si="3"/>
        <v>0.17327586206896561</v>
      </c>
      <c r="H149" s="8">
        <f t="shared" si="0"/>
        <v>-6.3923585598824384E-2</v>
      </c>
      <c r="I149" s="4">
        <f t="shared" si="1"/>
        <v>4.198402841503597E-2</v>
      </c>
      <c r="J149" s="4">
        <f t="shared" si="2"/>
        <v>3.7000000000000012E-2</v>
      </c>
    </row>
    <row r="150" spans="1:10" x14ac:dyDescent="0.3">
      <c r="A150" s="1">
        <v>31078</v>
      </c>
      <c r="B150" s="3">
        <v>10.3</v>
      </c>
      <c r="C150" s="3">
        <v>11.17</v>
      </c>
      <c r="D150" s="3">
        <v>105.7</v>
      </c>
      <c r="E150" s="3">
        <v>13.62</v>
      </c>
      <c r="F150" s="3">
        <v>8.0500000000000007</v>
      </c>
      <c r="G150" s="9">
        <f t="shared" si="3"/>
        <v>0.12561983471074378</v>
      </c>
      <c r="H150" s="8">
        <f t="shared" si="0"/>
        <v>-6.2408223201174673E-2</v>
      </c>
      <c r="I150" s="4">
        <f t="shared" si="1"/>
        <v>3.8804731993591218E-2</v>
      </c>
      <c r="J150" s="4">
        <f t="shared" si="2"/>
        <v>3.1199999999999992E-2</v>
      </c>
    </row>
    <row r="151" spans="1:10" x14ac:dyDescent="0.3">
      <c r="A151" s="1">
        <v>31106</v>
      </c>
      <c r="B151" s="3">
        <v>10.5</v>
      </c>
      <c r="C151" s="3">
        <v>11.91</v>
      </c>
      <c r="D151" s="3">
        <v>106.3</v>
      </c>
      <c r="E151" s="3">
        <v>13.54</v>
      </c>
      <c r="F151" s="3">
        <v>8.5</v>
      </c>
      <c r="G151" s="9">
        <f t="shared" si="3"/>
        <v>0.11624072547403119</v>
      </c>
      <c r="H151" s="8">
        <f t="shared" si="0"/>
        <v>-5.0221565731166873E-2</v>
      </c>
      <c r="I151" s="4">
        <f t="shared" si="1"/>
        <v>4.6211100273417585E-2</v>
      </c>
      <c r="J151" s="4">
        <f t="shared" si="2"/>
        <v>3.4099999999999998E-2</v>
      </c>
    </row>
    <row r="152" spans="1:10" x14ac:dyDescent="0.3">
      <c r="A152" s="1">
        <v>31135</v>
      </c>
      <c r="B152" s="3">
        <v>10.5</v>
      </c>
      <c r="C152" s="3">
        <v>11.65</v>
      </c>
      <c r="D152" s="3">
        <v>106.8</v>
      </c>
      <c r="E152" s="3">
        <v>13.53</v>
      </c>
      <c r="F152" s="3">
        <v>8.18</v>
      </c>
      <c r="G152" s="9">
        <f t="shared" si="3"/>
        <v>0.11449752883031294</v>
      </c>
      <c r="H152" s="8">
        <f t="shared" si="0"/>
        <v>-3.3998521803399795E-2</v>
      </c>
      <c r="I152" s="4">
        <f t="shared" si="1"/>
        <v>4.3514796640053713E-2</v>
      </c>
      <c r="J152" s="4">
        <f t="shared" si="2"/>
        <v>3.4700000000000009E-2</v>
      </c>
    </row>
    <row r="153" spans="1:10" x14ac:dyDescent="0.3">
      <c r="A153" s="1">
        <v>31167</v>
      </c>
      <c r="B153" s="3">
        <v>10.6</v>
      </c>
      <c r="C153" s="3">
        <v>11.41</v>
      </c>
      <c r="D153" s="3">
        <v>107</v>
      </c>
      <c r="E153" s="3">
        <v>13.28</v>
      </c>
      <c r="F153" s="3">
        <v>7.85</v>
      </c>
      <c r="G153" s="9">
        <f t="shared" si="3"/>
        <v>3.8311180609851503E-2</v>
      </c>
      <c r="H153" s="8">
        <f t="shared" si="0"/>
        <v>-1.6566265060240837E-2</v>
      </c>
      <c r="I153" s="4">
        <f t="shared" si="1"/>
        <v>4.131969738663091E-2</v>
      </c>
      <c r="J153" s="4">
        <f t="shared" si="2"/>
        <v>3.5600000000000007E-2</v>
      </c>
    </row>
    <row r="154" spans="1:10" x14ac:dyDescent="0.3">
      <c r="A154" s="1">
        <v>31198</v>
      </c>
      <c r="B154" s="3">
        <v>11.3</v>
      </c>
      <c r="C154" s="3">
        <v>10.28</v>
      </c>
      <c r="D154" s="3">
        <v>107.2</v>
      </c>
      <c r="E154" s="3">
        <v>13.17</v>
      </c>
      <c r="F154" s="3">
        <v>7.14</v>
      </c>
      <c r="G154" s="9">
        <f t="shared" si="3"/>
        <v>1.0744435917114492E-2</v>
      </c>
      <c r="H154" s="8">
        <f t="shared" si="0"/>
        <v>-6.8337129840546629E-3</v>
      </c>
      <c r="I154" s="4">
        <f t="shared" si="1"/>
        <v>3.0021585534190973E-2</v>
      </c>
      <c r="J154" s="4">
        <f t="shared" si="2"/>
        <v>3.1399999999999997E-2</v>
      </c>
    </row>
    <row r="155" spans="1:10" x14ac:dyDescent="0.3">
      <c r="A155" s="1">
        <v>31226</v>
      </c>
      <c r="B155" s="3">
        <v>11.4</v>
      </c>
      <c r="C155" s="3">
        <v>10.25</v>
      </c>
      <c r="D155" s="3">
        <v>107.5</v>
      </c>
      <c r="E155" s="3">
        <v>13.18</v>
      </c>
      <c r="F155" s="3">
        <v>6.83</v>
      </c>
      <c r="G155" s="9">
        <f t="shared" si="3"/>
        <v>1.1511895625479607E-2</v>
      </c>
      <c r="H155" s="8">
        <f t="shared" si="0"/>
        <v>2.1244309559939278E-2</v>
      </c>
      <c r="I155" s="4">
        <f t="shared" si="1"/>
        <v>3.0226758781139965E-2</v>
      </c>
      <c r="J155" s="4">
        <f t="shared" si="2"/>
        <v>3.4200000000000001E-2</v>
      </c>
    </row>
    <row r="156" spans="1:10" x14ac:dyDescent="0.3">
      <c r="A156" s="1">
        <v>31259</v>
      </c>
      <c r="B156" s="3">
        <v>11.4</v>
      </c>
      <c r="C156" s="3">
        <v>10.57</v>
      </c>
      <c r="D156" s="3">
        <v>107.7</v>
      </c>
      <c r="E156" s="3">
        <v>13.04</v>
      </c>
      <c r="F156" s="3">
        <v>7.28</v>
      </c>
      <c r="G156" s="9">
        <f t="shared" si="3"/>
        <v>-3.4074074074074145E-2</v>
      </c>
      <c r="H156" s="8">
        <f t="shared" si="0"/>
        <v>3.2975460122699474E-2</v>
      </c>
      <c r="I156" s="4">
        <f t="shared" si="1"/>
        <v>3.4224625113993143E-2</v>
      </c>
      <c r="J156" s="4">
        <f t="shared" si="2"/>
        <v>3.2899999999999999E-2</v>
      </c>
    </row>
    <row r="157" spans="1:10" x14ac:dyDescent="0.3">
      <c r="A157" s="1">
        <v>31289</v>
      </c>
      <c r="B157" s="3">
        <v>11.3</v>
      </c>
      <c r="C157" s="3">
        <v>10.28</v>
      </c>
      <c r="D157" s="3">
        <v>107.9</v>
      </c>
      <c r="E157" s="3">
        <v>13.03</v>
      </c>
      <c r="F157" s="3">
        <v>7.14</v>
      </c>
      <c r="G157" s="9">
        <f t="shared" si="3"/>
        <v>-3.5529237601776509E-2</v>
      </c>
      <c r="H157" s="8">
        <f t="shared" si="0"/>
        <v>3.4535686876439042E-2</v>
      </c>
      <c r="I157" s="4">
        <f t="shared" si="1"/>
        <v>3.1521927041718176E-2</v>
      </c>
      <c r="J157" s="4">
        <f t="shared" si="2"/>
        <v>3.1399999999999997E-2</v>
      </c>
    </row>
    <row r="158" spans="1:10" x14ac:dyDescent="0.3">
      <c r="A158" s="1">
        <v>31320</v>
      </c>
      <c r="B158" s="3">
        <v>11.1</v>
      </c>
      <c r="C158" s="3">
        <v>10.31</v>
      </c>
      <c r="D158" s="3">
        <v>108.1</v>
      </c>
      <c r="E158" s="3">
        <v>12.84</v>
      </c>
      <c r="F158" s="3">
        <v>7.04</v>
      </c>
      <c r="G158" s="9">
        <f t="shared" si="3"/>
        <v>-4.9592894152479694E-2</v>
      </c>
      <c r="H158" s="8">
        <f t="shared" si="0"/>
        <v>6.3862928348909609E-2</v>
      </c>
      <c r="I158" s="4">
        <f t="shared" si="1"/>
        <v>3.2411088103923499E-2</v>
      </c>
      <c r="J158" s="4">
        <f t="shared" si="2"/>
        <v>3.2700000000000007E-2</v>
      </c>
    </row>
    <row r="159" spans="1:10" x14ac:dyDescent="0.3">
      <c r="A159" s="1">
        <v>31351</v>
      </c>
      <c r="B159" s="3">
        <v>11.6</v>
      </c>
      <c r="C159" s="3">
        <v>10.01</v>
      </c>
      <c r="D159" s="3">
        <v>108.5</v>
      </c>
      <c r="E159" s="3">
        <v>12.84</v>
      </c>
      <c r="F159" s="3">
        <v>7.19</v>
      </c>
      <c r="G159" s="9">
        <f t="shared" si="3"/>
        <v>-5.9340659340659352E-2</v>
      </c>
      <c r="H159" s="8">
        <f t="shared" si="0"/>
        <v>6.3862928348909609E-2</v>
      </c>
      <c r="I159" s="4">
        <f t="shared" si="1"/>
        <v>2.9602297934008398E-2</v>
      </c>
      <c r="J159" s="4">
        <f t="shared" si="2"/>
        <v>2.8199999999999992E-2</v>
      </c>
    </row>
    <row r="160" spans="1:10" x14ac:dyDescent="0.3">
      <c r="A160" s="1">
        <v>31380</v>
      </c>
      <c r="B160" s="3">
        <v>12.4</v>
      </c>
      <c r="C160" s="3">
        <v>9.59</v>
      </c>
      <c r="D160" s="3">
        <v>109</v>
      </c>
      <c r="E160" s="3">
        <v>12.83</v>
      </c>
      <c r="F160" s="3">
        <v>7.16</v>
      </c>
      <c r="G160" s="9">
        <f t="shared" si="3"/>
        <v>-6.0761346998535859E-2</v>
      </c>
      <c r="H160" s="8">
        <f t="shared" si="0"/>
        <v>6.4692127825409118E-2</v>
      </c>
      <c r="I160" s="4">
        <f t="shared" si="1"/>
        <v>2.5687210525215401E-2</v>
      </c>
      <c r="J160" s="4">
        <f t="shared" si="2"/>
        <v>2.4299999999999999E-2</v>
      </c>
    </row>
    <row r="161" spans="1:10" x14ac:dyDescent="0.3">
      <c r="A161" s="1">
        <v>31412</v>
      </c>
      <c r="B161" s="3">
        <v>13</v>
      </c>
      <c r="C161" s="3">
        <v>9</v>
      </c>
      <c r="D161" s="3">
        <v>109.5</v>
      </c>
      <c r="E161" s="3">
        <v>12.74</v>
      </c>
      <c r="F161" s="3">
        <v>7.05</v>
      </c>
      <c r="G161" s="9">
        <f t="shared" si="3"/>
        <v>-6.3923585598824384E-2</v>
      </c>
      <c r="H161" s="8">
        <f t="shared" si="0"/>
        <v>8.5557299843014079E-2</v>
      </c>
      <c r="I161" s="4">
        <f t="shared" si="1"/>
        <v>1.9876422495361062E-2</v>
      </c>
      <c r="J161" s="4">
        <f t="shared" si="2"/>
        <v>1.9500000000000003E-2</v>
      </c>
    </row>
    <row r="162" spans="1:10" x14ac:dyDescent="0.3">
      <c r="A162" s="1">
        <v>31443</v>
      </c>
      <c r="B162" s="3">
        <v>13.1</v>
      </c>
      <c r="C162" s="3">
        <v>9.08</v>
      </c>
      <c r="D162" s="3">
        <v>109.9</v>
      </c>
      <c r="E162" s="3">
        <v>12.77</v>
      </c>
      <c r="F162" s="3">
        <v>6.97</v>
      </c>
      <c r="G162" s="9">
        <f t="shared" si="3"/>
        <v>-6.2408223201174673E-2</v>
      </c>
      <c r="H162" s="8">
        <f t="shared" si="0"/>
        <v>8.2223962411902995E-2</v>
      </c>
      <c r="I162" s="4">
        <f t="shared" si="1"/>
        <v>2.0670467880774104E-2</v>
      </c>
      <c r="J162" s="4">
        <f t="shared" si="2"/>
        <v>2.1100000000000004E-2</v>
      </c>
    </row>
    <row r="163" spans="1:10" x14ac:dyDescent="0.3">
      <c r="A163" s="1">
        <v>31471</v>
      </c>
      <c r="B163" s="3">
        <v>14</v>
      </c>
      <c r="C163" s="3">
        <v>8.1300000000000008</v>
      </c>
      <c r="D163" s="3">
        <v>109.7</v>
      </c>
      <c r="E163" s="3">
        <v>12.86</v>
      </c>
      <c r="F163" s="3">
        <v>7.02</v>
      </c>
      <c r="G163" s="9">
        <f t="shared" si="3"/>
        <v>-5.0221565731166873E-2</v>
      </c>
      <c r="H163" s="8">
        <f t="shared" si="0"/>
        <v>8.0870917573872658E-2</v>
      </c>
      <c r="I163" s="4">
        <f t="shared" si="1"/>
        <v>1.1556929393126664E-2</v>
      </c>
      <c r="J163" s="4">
        <f t="shared" si="2"/>
        <v>1.1100000000000013E-2</v>
      </c>
    </row>
    <row r="164" spans="1:10" x14ac:dyDescent="0.3">
      <c r="A164" s="1">
        <v>31502</v>
      </c>
      <c r="B164" s="3">
        <v>14.5</v>
      </c>
      <c r="C164" s="3">
        <v>7.39</v>
      </c>
      <c r="D164" s="3">
        <v>109.1</v>
      </c>
      <c r="E164" s="3">
        <v>13.07</v>
      </c>
      <c r="F164" s="3">
        <v>6.34</v>
      </c>
      <c r="G164" s="9">
        <f t="shared" si="3"/>
        <v>-3.3998521803399795E-2</v>
      </c>
      <c r="H164" s="8">
        <f t="shared" si="0"/>
        <v>8.4927314460596648E-2</v>
      </c>
      <c r="I164" s="4">
        <f t="shared" si="1"/>
        <v>4.9345407909232863E-3</v>
      </c>
      <c r="J164" s="4">
        <f t="shared" si="2"/>
        <v>1.0499999999999999E-2</v>
      </c>
    </row>
    <row r="165" spans="1:10" x14ac:dyDescent="0.3">
      <c r="A165" s="1">
        <v>31532</v>
      </c>
      <c r="B165" s="3">
        <v>14.4</v>
      </c>
      <c r="C165" s="3">
        <v>7.38</v>
      </c>
      <c r="D165" s="3">
        <v>108.7</v>
      </c>
      <c r="E165" s="3">
        <v>13.06</v>
      </c>
      <c r="F165" s="3">
        <v>6.1</v>
      </c>
      <c r="G165" s="9">
        <f t="shared" si="3"/>
        <v>-1.6566265060240837E-2</v>
      </c>
      <c r="H165" s="8">
        <f t="shared" si="0"/>
        <v>8.8055130168453344E-2</v>
      </c>
      <c r="I165" s="4">
        <f t="shared" si="1"/>
        <v>5.4177396665585908E-3</v>
      </c>
      <c r="J165" s="4">
        <f t="shared" si="2"/>
        <v>1.2800000000000002E-2</v>
      </c>
    </row>
    <row r="166" spans="1:10" x14ac:dyDescent="0.3">
      <c r="A166" s="1">
        <v>31562</v>
      </c>
      <c r="B166" s="3">
        <v>15.1</v>
      </c>
      <c r="C166" s="3">
        <v>8.0500000000000007</v>
      </c>
      <c r="D166" s="3">
        <v>109</v>
      </c>
      <c r="E166" s="3">
        <v>13.08</v>
      </c>
      <c r="F166" s="3">
        <v>6.3</v>
      </c>
      <c r="G166" s="9">
        <f t="shared" si="3"/>
        <v>-6.8337129840546629E-3</v>
      </c>
      <c r="H166" s="8">
        <f t="shared" si="0"/>
        <v>8.7920489296636095E-2</v>
      </c>
      <c r="I166" s="4">
        <f t="shared" si="1"/>
        <v>1.2393053846475363E-2</v>
      </c>
      <c r="J166" s="4">
        <f t="shared" si="2"/>
        <v>1.7500000000000009E-2</v>
      </c>
    </row>
    <row r="167" spans="1:10" x14ac:dyDescent="0.3">
      <c r="A167" s="1">
        <v>31593</v>
      </c>
      <c r="B167" s="3">
        <v>15</v>
      </c>
      <c r="C167" s="3">
        <v>7.35</v>
      </c>
      <c r="D167" s="3">
        <v>109.4</v>
      </c>
      <c r="E167" s="3">
        <v>13.46</v>
      </c>
      <c r="F167" s="3">
        <v>5.96</v>
      </c>
      <c r="G167" s="9">
        <f t="shared" si="3"/>
        <v>2.1244309559939278E-2</v>
      </c>
      <c r="H167" s="8">
        <f t="shared" si="0"/>
        <v>4.9777117384844027E-2</v>
      </c>
      <c r="I167" s="4">
        <f t="shared" si="1"/>
        <v>5.5684273580581672E-3</v>
      </c>
      <c r="J167" s="4">
        <f t="shared" si="2"/>
        <v>1.3899999999999997E-2</v>
      </c>
    </row>
    <row r="168" spans="1:10" x14ac:dyDescent="0.3">
      <c r="A168" s="1">
        <v>31624</v>
      </c>
      <c r="B168" s="3">
        <v>14.2</v>
      </c>
      <c r="C168" s="3">
        <v>7.34</v>
      </c>
      <c r="D168" s="3">
        <v>109.5</v>
      </c>
      <c r="E168" s="3">
        <v>13.47</v>
      </c>
      <c r="F168" s="3">
        <v>5.79</v>
      </c>
      <c r="G168" s="9">
        <f t="shared" si="3"/>
        <v>3.2975460122699474E-2</v>
      </c>
      <c r="H168" s="8">
        <f t="shared" si="0"/>
        <v>5.0482553823311127E-2</v>
      </c>
      <c r="I168" s="4">
        <f t="shared" si="1"/>
        <v>5.9343067407092442E-3</v>
      </c>
      <c r="J168" s="4">
        <f t="shared" si="2"/>
        <v>1.5499999999999998E-2</v>
      </c>
    </row>
    <row r="169" spans="1:10" x14ac:dyDescent="0.3">
      <c r="A169" s="1">
        <v>31653</v>
      </c>
      <c r="B169" s="3">
        <v>15.1</v>
      </c>
      <c r="C169" s="3">
        <v>6.95</v>
      </c>
      <c r="D169" s="3">
        <v>109.6</v>
      </c>
      <c r="E169" s="3">
        <v>13.48</v>
      </c>
      <c r="F169" s="3">
        <v>5.17</v>
      </c>
      <c r="G169" s="9">
        <f t="shared" si="3"/>
        <v>3.4535686876439042E-2</v>
      </c>
      <c r="H169" s="8">
        <f t="shared" si="0"/>
        <v>5.1928783382789279E-2</v>
      </c>
      <c r="I169" s="4">
        <f t="shared" si="1"/>
        <v>2.4971161514967255E-3</v>
      </c>
      <c r="J169" s="4">
        <f t="shared" si="2"/>
        <v>1.7800000000000003E-2</v>
      </c>
    </row>
    <row r="170" spans="1:10" x14ac:dyDescent="0.3">
      <c r="A170" s="1">
        <v>31685</v>
      </c>
      <c r="B170" s="3">
        <v>13.5</v>
      </c>
      <c r="C170" s="3">
        <v>7.45</v>
      </c>
      <c r="D170" s="3">
        <v>110</v>
      </c>
      <c r="E170" s="3">
        <v>13.66</v>
      </c>
      <c r="F170" s="3">
        <v>5.2</v>
      </c>
      <c r="G170" s="9">
        <f t="shared" si="3"/>
        <v>6.3862928348909609E-2</v>
      </c>
      <c r="H170" s="8">
        <f t="shared" si="0"/>
        <v>9.07759882869692E-2</v>
      </c>
      <c r="I170" s="4">
        <f t="shared" si="1"/>
        <v>7.6655775602356563E-3</v>
      </c>
      <c r="J170" s="4">
        <f t="shared" si="2"/>
        <v>2.2499999999999999E-2</v>
      </c>
    </row>
    <row r="171" spans="1:10" x14ac:dyDescent="0.3">
      <c r="A171" s="1">
        <v>31716</v>
      </c>
      <c r="B171" s="3">
        <v>14.2</v>
      </c>
      <c r="C171" s="3">
        <v>7.34</v>
      </c>
      <c r="D171" s="3">
        <v>110.2</v>
      </c>
      <c r="E171" s="3">
        <v>13.66</v>
      </c>
      <c r="F171" s="3">
        <v>5.2</v>
      </c>
      <c r="G171" s="9">
        <f t="shared" si="3"/>
        <v>6.3862928348909609E-2</v>
      </c>
      <c r="H171" s="8">
        <f t="shared" si="0"/>
        <v>9.1508052708638266E-2</v>
      </c>
      <c r="I171" s="4">
        <f t="shared" si="1"/>
        <v>6.9259238632718156E-3</v>
      </c>
      <c r="J171" s="4">
        <f t="shared" si="2"/>
        <v>2.1399999999999995E-2</v>
      </c>
    </row>
    <row r="172" spans="1:10" x14ac:dyDescent="0.3">
      <c r="A172" s="1">
        <v>31744</v>
      </c>
      <c r="B172" s="3">
        <v>14.5</v>
      </c>
      <c r="C172" s="3">
        <v>7.15</v>
      </c>
      <c r="D172" s="3">
        <v>110.4</v>
      </c>
      <c r="E172" s="3">
        <v>13.66</v>
      </c>
      <c r="F172" s="3">
        <v>5.39</v>
      </c>
      <c r="G172" s="9">
        <f t="shared" si="3"/>
        <v>6.4692127825409118E-2</v>
      </c>
      <c r="H172" s="8">
        <f t="shared" si="0"/>
        <v>9.4436310395314749E-2</v>
      </c>
      <c r="I172" s="4">
        <f t="shared" si="1"/>
        <v>5.200282615829388E-3</v>
      </c>
      <c r="J172" s="4">
        <f t="shared" si="2"/>
        <v>1.7600000000000008E-2</v>
      </c>
    </row>
    <row r="173" spans="1:10" x14ac:dyDescent="0.3">
      <c r="A173" s="1">
        <v>31777</v>
      </c>
      <c r="B173" s="3">
        <v>13.9</v>
      </c>
      <c r="C173" s="3">
        <v>7.23</v>
      </c>
      <c r="D173" s="3">
        <v>110.8</v>
      </c>
      <c r="E173" s="3">
        <v>13.83</v>
      </c>
      <c r="F173" s="3">
        <v>5.67</v>
      </c>
      <c r="G173" s="9">
        <f t="shared" si="3"/>
        <v>8.5557299843014079E-2</v>
      </c>
      <c r="H173" s="8">
        <f t="shared" si="0"/>
        <v>0.1417208966015906</v>
      </c>
      <c r="I173" s="4">
        <f t="shared" si="1"/>
        <v>6.1637962565783411E-3</v>
      </c>
      <c r="J173" s="4">
        <f t="shared" si="2"/>
        <v>1.5600000000000004E-2</v>
      </c>
    </row>
    <row r="174" spans="1:10" x14ac:dyDescent="0.3">
      <c r="A174" s="1">
        <v>31807</v>
      </c>
      <c r="B174" s="3">
        <v>15.8</v>
      </c>
      <c r="C174" s="3">
        <v>7.18</v>
      </c>
      <c r="D174" s="3">
        <v>111.4</v>
      </c>
      <c r="E174" s="3">
        <v>13.82</v>
      </c>
      <c r="F174" s="3">
        <v>5.6</v>
      </c>
      <c r="G174" s="9">
        <f t="shared" si="3"/>
        <v>8.2223962411902995E-2</v>
      </c>
      <c r="H174" s="8">
        <f t="shared" si="0"/>
        <v>0.14327062228654119</v>
      </c>
      <c r="I174" s="4">
        <f t="shared" si="1"/>
        <v>5.6342941346144981E-3</v>
      </c>
      <c r="J174" s="4">
        <f t="shared" si="2"/>
        <v>1.5800000000000002E-2</v>
      </c>
    </row>
    <row r="175" spans="1:10" x14ac:dyDescent="0.3">
      <c r="A175" s="1">
        <v>31835</v>
      </c>
      <c r="B175" s="3">
        <v>16.2</v>
      </c>
      <c r="C175" s="3">
        <v>7.19</v>
      </c>
      <c r="D175" s="3">
        <v>111.8</v>
      </c>
      <c r="E175" s="3">
        <v>13.9</v>
      </c>
      <c r="F175" s="3">
        <v>5.45</v>
      </c>
      <c r="G175" s="9">
        <f t="shared" si="3"/>
        <v>8.0870917573872658E-2</v>
      </c>
      <c r="H175" s="8">
        <f t="shared" si="0"/>
        <v>0.13956834532374107</v>
      </c>
      <c r="I175" s="4">
        <f t="shared" si="1"/>
        <v>6.4361700049208465E-3</v>
      </c>
      <c r="J175" s="4">
        <f t="shared" si="2"/>
        <v>1.7400000000000002E-2</v>
      </c>
    </row>
    <row r="176" spans="1:10" x14ac:dyDescent="0.3">
      <c r="A176" s="1">
        <v>31867</v>
      </c>
      <c r="B176" s="3">
        <v>16.2</v>
      </c>
      <c r="C176" s="3">
        <v>7.51</v>
      </c>
      <c r="D176" s="3">
        <v>112.2</v>
      </c>
      <c r="E176" s="3">
        <v>14.18</v>
      </c>
      <c r="F176" s="3">
        <v>5.61</v>
      </c>
      <c r="G176" s="9">
        <f t="shared" si="3"/>
        <v>8.4927314460596648E-2</v>
      </c>
      <c r="H176" s="8">
        <f t="shared" si="0"/>
        <v>0.16502115655853311</v>
      </c>
      <c r="I176" s="4">
        <f t="shared" si="1"/>
        <v>9.7932968271801646E-3</v>
      </c>
      <c r="J176" s="4">
        <f t="shared" si="2"/>
        <v>1.8999999999999996E-2</v>
      </c>
    </row>
    <row r="177" spans="1:10" x14ac:dyDescent="0.3">
      <c r="A177" s="1">
        <v>31897</v>
      </c>
      <c r="B177" s="3">
        <v>15.9</v>
      </c>
      <c r="C177" s="3">
        <v>8.2100000000000009</v>
      </c>
      <c r="D177" s="3">
        <v>112.7</v>
      </c>
      <c r="E177" s="3">
        <v>14.21</v>
      </c>
      <c r="F177" s="3">
        <v>5.53</v>
      </c>
      <c r="G177" s="9">
        <f t="shared" si="3"/>
        <v>8.8055130168453344E-2</v>
      </c>
      <c r="H177" s="8">
        <f t="shared" si="0"/>
        <v>0.16256157635467972</v>
      </c>
      <c r="I177" s="4">
        <f t="shared" si="1"/>
        <v>1.7032171482297132E-2</v>
      </c>
      <c r="J177" s="4">
        <f t="shared" si="2"/>
        <v>2.6800000000000004E-2</v>
      </c>
    </row>
    <row r="178" spans="1:10" x14ac:dyDescent="0.3">
      <c r="A178" s="1">
        <v>31926</v>
      </c>
      <c r="B178" s="3">
        <v>15.9</v>
      </c>
      <c r="C178" s="3">
        <v>8.49</v>
      </c>
      <c r="D178" s="3">
        <v>113</v>
      </c>
      <c r="E178" s="3">
        <v>14.23</v>
      </c>
      <c r="F178" s="3">
        <v>5.68</v>
      </c>
      <c r="G178" s="9">
        <f t="shared" si="3"/>
        <v>8.7920489296636095E-2</v>
      </c>
      <c r="H178" s="8">
        <f t="shared" si="0"/>
        <v>0.16654954321855242</v>
      </c>
      <c r="I178" s="4">
        <f t="shared" si="1"/>
        <v>1.9903463929904747E-2</v>
      </c>
      <c r="J178" s="4">
        <f t="shared" si="2"/>
        <v>2.8100000000000003E-2</v>
      </c>
    </row>
    <row r="179" spans="1:10" x14ac:dyDescent="0.3">
      <c r="A179" s="1">
        <v>31958</v>
      </c>
      <c r="B179" s="3">
        <v>16.899999999999999</v>
      </c>
      <c r="C179" s="3">
        <v>8.3800000000000008</v>
      </c>
      <c r="D179" s="3">
        <v>113.5</v>
      </c>
      <c r="E179" s="3">
        <v>14.13</v>
      </c>
      <c r="F179" s="3">
        <v>5.73</v>
      </c>
      <c r="G179" s="9">
        <f t="shared" si="3"/>
        <v>4.9777117384844027E-2</v>
      </c>
      <c r="H179" s="8">
        <f t="shared" si="0"/>
        <v>0.25406935598018388</v>
      </c>
      <c r="I179" s="4">
        <f t="shared" si="1"/>
        <v>1.8862675506855636E-2</v>
      </c>
      <c r="J179" s="4">
        <f t="shared" si="2"/>
        <v>2.6500000000000003E-2</v>
      </c>
    </row>
    <row r="180" spans="1:10" x14ac:dyDescent="0.3">
      <c r="A180" s="1">
        <v>31989</v>
      </c>
      <c r="B180" s="3">
        <v>17.5</v>
      </c>
      <c r="C180" s="3">
        <v>8.66</v>
      </c>
      <c r="D180" s="3">
        <v>113.8</v>
      </c>
      <c r="E180" s="3">
        <v>14.15</v>
      </c>
      <c r="F180" s="3">
        <v>6.07</v>
      </c>
      <c r="G180" s="9">
        <f t="shared" si="3"/>
        <v>5.0482553823311127E-2</v>
      </c>
      <c r="H180" s="8">
        <f t="shared" si="0"/>
        <v>0.25017667844522973</v>
      </c>
      <c r="I180" s="4">
        <f t="shared" si="1"/>
        <v>2.1908300439553927E-2</v>
      </c>
      <c r="J180" s="4">
        <f t="shared" si="2"/>
        <v>2.5899999999999999E-2</v>
      </c>
    </row>
    <row r="181" spans="1:10" x14ac:dyDescent="0.3">
      <c r="A181" s="1">
        <v>32020</v>
      </c>
      <c r="B181" s="3">
        <v>18.3</v>
      </c>
      <c r="C181" s="3">
        <v>8.9700000000000006</v>
      </c>
      <c r="D181" s="3">
        <v>114.3</v>
      </c>
      <c r="E181" s="3">
        <v>14.18</v>
      </c>
      <c r="F181" s="3">
        <v>6.25</v>
      </c>
      <c r="G181" s="9">
        <f t="shared" si="3"/>
        <v>5.1928783382789279E-2</v>
      </c>
      <c r="H181" s="8">
        <f t="shared" si="0"/>
        <v>0.2510578279266571</v>
      </c>
      <c r="I181" s="4">
        <f t="shared" si="1"/>
        <v>2.5065582303466782E-2</v>
      </c>
      <c r="J181" s="4">
        <f t="shared" si="2"/>
        <v>2.7200000000000005E-2</v>
      </c>
    </row>
    <row r="182" spans="1:10" x14ac:dyDescent="0.3">
      <c r="A182" s="1">
        <v>32050</v>
      </c>
      <c r="B182" s="3">
        <v>16.899999999999999</v>
      </c>
      <c r="C182" s="3">
        <v>9.6370000000000005</v>
      </c>
      <c r="D182" s="3">
        <v>114.7</v>
      </c>
      <c r="E182" s="3">
        <v>14.9</v>
      </c>
      <c r="F182" s="3">
        <v>6.61</v>
      </c>
      <c r="G182" s="9">
        <f t="shared" si="3"/>
        <v>9.07759882869692E-2</v>
      </c>
      <c r="H182" s="8">
        <f t="shared" si="0"/>
        <v>0.22416107382550332</v>
      </c>
      <c r="I182" s="4">
        <f t="shared" si="1"/>
        <v>3.171157702116173E-2</v>
      </c>
      <c r="J182" s="4">
        <f t="shared" si="2"/>
        <v>3.0270000000000002E-2</v>
      </c>
    </row>
    <row r="183" spans="1:10" x14ac:dyDescent="0.3">
      <c r="A183" s="1">
        <v>32080</v>
      </c>
      <c r="B183" s="3">
        <v>13.5</v>
      </c>
      <c r="C183" s="3">
        <v>8.81</v>
      </c>
      <c r="D183" s="3">
        <v>115</v>
      </c>
      <c r="E183" s="3">
        <v>14.91</v>
      </c>
      <c r="F183" s="3">
        <v>5.27</v>
      </c>
      <c r="G183" s="9">
        <f t="shared" si="3"/>
        <v>9.1508052708638266E-2</v>
      </c>
      <c r="H183" s="8">
        <f t="shared" si="0"/>
        <v>0.22535211267605626</v>
      </c>
      <c r="I183" s="4">
        <f t="shared" si="1"/>
        <v>2.36832188981701E-2</v>
      </c>
      <c r="J183" s="4">
        <f t="shared" si="2"/>
        <v>3.5400000000000008E-2</v>
      </c>
    </row>
    <row r="184" spans="1:10" x14ac:dyDescent="0.3">
      <c r="A184" s="1">
        <v>32111</v>
      </c>
      <c r="B184" s="3">
        <v>12.3</v>
      </c>
      <c r="C184" s="3">
        <v>8.9890000000000008</v>
      </c>
      <c r="D184" s="3">
        <v>115.4</v>
      </c>
      <c r="E184" s="3">
        <v>14.95</v>
      </c>
      <c r="F184" s="3">
        <v>5.21</v>
      </c>
      <c r="G184" s="9">
        <f t="shared" si="3"/>
        <v>9.4436310395314749E-2</v>
      </c>
      <c r="H184" s="8">
        <f t="shared" si="0"/>
        <v>0.23143812709030098</v>
      </c>
      <c r="I184" s="4">
        <f t="shared" si="1"/>
        <v>2.5792526769124344E-2</v>
      </c>
      <c r="J184" s="4">
        <f t="shared" si="2"/>
        <v>3.7790000000000011E-2</v>
      </c>
    </row>
    <row r="185" spans="1:10" x14ac:dyDescent="0.3">
      <c r="A185" s="1">
        <v>32142</v>
      </c>
      <c r="B185" s="3">
        <v>12.4</v>
      </c>
      <c r="C185" s="3">
        <v>8.8339999999999996</v>
      </c>
      <c r="D185" s="3">
        <v>115.6</v>
      </c>
      <c r="E185" s="3">
        <v>15.79</v>
      </c>
      <c r="F185" s="3">
        <v>5.68</v>
      </c>
      <c r="G185" s="9">
        <f t="shared" si="3"/>
        <v>0.1417208966015906</v>
      </c>
      <c r="H185" s="8">
        <f t="shared" si="0"/>
        <v>0.15072830905636492</v>
      </c>
      <c r="I185" s="4">
        <f t="shared" si="1"/>
        <v>2.4571860632438908E-2</v>
      </c>
      <c r="J185" s="4">
        <f t="shared" si="2"/>
        <v>3.1539999999999999E-2</v>
      </c>
    </row>
    <row r="186" spans="1:10" x14ac:dyDescent="0.3">
      <c r="A186" s="1">
        <v>32171</v>
      </c>
      <c r="B186" s="3">
        <v>12.9</v>
      </c>
      <c r="C186" s="3">
        <v>8.2720000000000002</v>
      </c>
      <c r="D186" s="3">
        <v>116</v>
      </c>
      <c r="E186" s="3">
        <v>15.8</v>
      </c>
      <c r="F186" s="3">
        <v>5.64</v>
      </c>
      <c r="G186" s="9">
        <f t="shared" si="3"/>
        <v>0.14327062228654119</v>
      </c>
      <c r="H186" s="8">
        <f t="shared" si="0"/>
        <v>0.17594936708860742</v>
      </c>
      <c r="I186" s="4">
        <f t="shared" si="1"/>
        <v>1.9265177915064866E-2</v>
      </c>
      <c r="J186" s="4">
        <f t="shared" si="2"/>
        <v>2.6320000000000007E-2</v>
      </c>
    </row>
    <row r="187" spans="1:10" x14ac:dyDescent="0.3">
      <c r="A187" s="1">
        <v>32202</v>
      </c>
      <c r="B187" s="3">
        <v>13.4</v>
      </c>
      <c r="C187" s="3">
        <v>8.1519999999999992</v>
      </c>
      <c r="D187" s="3">
        <v>116.2</v>
      </c>
      <c r="E187" s="3">
        <v>15.84</v>
      </c>
      <c r="F187" s="3">
        <v>5.62</v>
      </c>
      <c r="G187" s="9">
        <f t="shared" si="3"/>
        <v>0.13956834532374107</v>
      </c>
      <c r="H187" s="8">
        <f t="shared" si="0"/>
        <v>0.17803030303030298</v>
      </c>
      <c r="I187" s="4">
        <f t="shared" si="1"/>
        <v>1.8389548669448488E-2</v>
      </c>
      <c r="J187" s="4">
        <f t="shared" si="2"/>
        <v>2.5319999999999992E-2</v>
      </c>
    </row>
    <row r="188" spans="1:10" x14ac:dyDescent="0.3">
      <c r="A188" s="1">
        <v>32233</v>
      </c>
      <c r="B188" s="3">
        <v>12.4</v>
      </c>
      <c r="C188" s="3">
        <v>8.5690000000000008</v>
      </c>
      <c r="D188" s="3">
        <v>116.5</v>
      </c>
      <c r="E188" s="3">
        <v>16.52</v>
      </c>
      <c r="F188" s="3">
        <v>5.71</v>
      </c>
      <c r="G188" s="9">
        <f t="shared" si="3"/>
        <v>0.16502115655853311</v>
      </c>
      <c r="H188" s="8">
        <f t="shared" si="0"/>
        <v>0.12953995157385001</v>
      </c>
      <c r="I188" s="4">
        <f t="shared" si="1"/>
        <v>2.2958222924825925E-2</v>
      </c>
      <c r="J188" s="4">
        <f t="shared" si="2"/>
        <v>2.8590000000000008E-2</v>
      </c>
    </row>
    <row r="189" spans="1:10" x14ac:dyDescent="0.3">
      <c r="A189" s="1">
        <v>32262</v>
      </c>
      <c r="B189" s="3">
        <v>12.5</v>
      </c>
      <c r="C189" s="3">
        <v>8.8670000000000009</v>
      </c>
      <c r="D189" s="3">
        <v>117.2</v>
      </c>
      <c r="E189" s="3">
        <v>16.52</v>
      </c>
      <c r="F189" s="3">
        <v>5.98</v>
      </c>
      <c r="G189" s="9">
        <f t="shared" si="3"/>
        <v>0.16256157635467972</v>
      </c>
      <c r="H189" s="8">
        <f t="shared" si="0"/>
        <v>0.16404358353510906</v>
      </c>
      <c r="I189" s="4">
        <f t="shared" si="1"/>
        <v>2.6136392849033005E-2</v>
      </c>
      <c r="J189" s="4">
        <f t="shared" si="2"/>
        <v>2.8870000000000003E-2</v>
      </c>
    </row>
    <row r="190" spans="1:10" x14ac:dyDescent="0.3">
      <c r="A190" s="1">
        <v>32294</v>
      </c>
      <c r="B190" s="3">
        <v>12.4</v>
      </c>
      <c r="C190" s="3">
        <v>9.2129999999999992</v>
      </c>
      <c r="D190" s="3">
        <v>117.5</v>
      </c>
      <c r="E190" s="3">
        <v>16.600000000000001</v>
      </c>
      <c r="F190" s="3">
        <v>6.43</v>
      </c>
      <c r="G190" s="9">
        <f t="shared" si="3"/>
        <v>0.16654954321855242</v>
      </c>
      <c r="H190" s="8">
        <f t="shared" si="0"/>
        <v>0.1686746987951806</v>
      </c>
      <c r="I190" s="4">
        <f t="shared" si="1"/>
        <v>3.0317545213831065E-2</v>
      </c>
      <c r="J190" s="4">
        <f t="shared" si="2"/>
        <v>2.7829999999999994E-2</v>
      </c>
    </row>
    <row r="191" spans="1:10" x14ac:dyDescent="0.3">
      <c r="A191" s="1">
        <v>32324</v>
      </c>
      <c r="B191" s="3">
        <v>12.1</v>
      </c>
      <c r="C191" s="3">
        <v>8.81</v>
      </c>
      <c r="D191" s="3">
        <v>118</v>
      </c>
      <c r="E191" s="3">
        <v>17.72</v>
      </c>
      <c r="F191" s="3">
        <v>6.56</v>
      </c>
      <c r="G191" s="9">
        <f t="shared" si="3"/>
        <v>0.25406935598018388</v>
      </c>
      <c r="H191" s="8">
        <f t="shared" ref="H191:H254" si="4">G203</f>
        <v>9.424379232505653E-2</v>
      </c>
      <c r="I191" s="4">
        <f t="shared" ref="I191:I254" si="5">C191%-((D191/D71)^(1/10)-1)</f>
        <v>2.6656541100585185E-2</v>
      </c>
      <c r="J191" s="4">
        <f t="shared" ref="J191:J254" si="6">(C191-F191)%</f>
        <v>2.250000000000001E-2</v>
      </c>
    </row>
    <row r="192" spans="1:10" x14ac:dyDescent="0.3">
      <c r="A192" s="1">
        <v>32353</v>
      </c>
      <c r="B192" s="3">
        <v>12.1</v>
      </c>
      <c r="C192" s="3">
        <v>9.1189999999999998</v>
      </c>
      <c r="D192" s="3">
        <v>118.5</v>
      </c>
      <c r="E192" s="3">
        <v>17.690000000000001</v>
      </c>
      <c r="F192" s="3">
        <v>6.95</v>
      </c>
      <c r="G192" s="9">
        <f t="shared" si="3"/>
        <v>0.25017667844522973</v>
      </c>
      <c r="H192" s="8">
        <f t="shared" si="4"/>
        <v>0.11531938948558507</v>
      </c>
      <c r="I192" s="4">
        <f t="shared" si="5"/>
        <v>3.0111035148262411E-2</v>
      </c>
      <c r="J192" s="4">
        <f t="shared" si="6"/>
        <v>2.1689999999999997E-2</v>
      </c>
    </row>
    <row r="193" spans="1:10" x14ac:dyDescent="0.3">
      <c r="A193" s="1">
        <v>32386</v>
      </c>
      <c r="B193" s="3">
        <v>11.7</v>
      </c>
      <c r="C193" s="3">
        <v>9.2539999999999996</v>
      </c>
      <c r="D193" s="3">
        <v>119</v>
      </c>
      <c r="E193" s="3">
        <v>17.739999999999998</v>
      </c>
      <c r="F193" s="3">
        <v>7.3</v>
      </c>
      <c r="G193" s="9">
        <f t="shared" si="3"/>
        <v>0.2510578279266571</v>
      </c>
      <c r="H193" s="8">
        <f t="shared" si="4"/>
        <v>0.11386696730552437</v>
      </c>
      <c r="I193" s="4">
        <f t="shared" si="5"/>
        <v>3.1660262278041015E-2</v>
      </c>
      <c r="J193" s="4">
        <f t="shared" si="6"/>
        <v>1.9539999999999998E-2</v>
      </c>
    </row>
    <row r="194" spans="1:10" x14ac:dyDescent="0.3">
      <c r="A194" s="1">
        <v>32416</v>
      </c>
      <c r="B194" s="3">
        <v>11.9</v>
      </c>
      <c r="C194" s="3">
        <v>8.8569999999999993</v>
      </c>
      <c r="D194" s="3">
        <v>119.5</v>
      </c>
      <c r="E194" s="3">
        <v>18.239999999999998</v>
      </c>
      <c r="F194" s="3">
        <v>7.25</v>
      </c>
      <c r="G194" s="9">
        <f t="shared" si="3"/>
        <v>0.22416107382550332</v>
      </c>
      <c r="H194" s="8">
        <f t="shared" si="4"/>
        <v>8.0043859649122862E-2</v>
      </c>
      <c r="I194" s="4">
        <f t="shared" si="5"/>
        <v>2.8206851506332911E-2</v>
      </c>
      <c r="J194" s="4">
        <f t="shared" si="6"/>
        <v>1.6069999999999994E-2</v>
      </c>
    </row>
    <row r="195" spans="1:10" x14ac:dyDescent="0.3">
      <c r="A195" s="1">
        <v>32447</v>
      </c>
      <c r="B195" s="3">
        <v>12</v>
      </c>
      <c r="C195" s="3">
        <v>8.6419999999999995</v>
      </c>
      <c r="D195" s="3">
        <v>119.9</v>
      </c>
      <c r="E195" s="3">
        <v>18.27</v>
      </c>
      <c r="F195" s="3">
        <v>7.36</v>
      </c>
      <c r="G195" s="9">
        <f t="shared" si="3"/>
        <v>0.22535211267605626</v>
      </c>
      <c r="H195" s="8">
        <f t="shared" si="4"/>
        <v>6.075533661740562E-2</v>
      </c>
      <c r="I195" s="4">
        <f t="shared" si="5"/>
        <v>2.66547706949401E-2</v>
      </c>
      <c r="J195" s="4">
        <f t="shared" si="6"/>
        <v>1.2819999999999991E-2</v>
      </c>
    </row>
    <row r="196" spans="1:10" x14ac:dyDescent="0.3">
      <c r="A196" s="1">
        <v>32477</v>
      </c>
      <c r="B196" s="3">
        <v>11.7</v>
      </c>
      <c r="C196" s="3">
        <v>9.0619999999999994</v>
      </c>
      <c r="D196" s="3">
        <v>120.3</v>
      </c>
      <c r="E196" s="3">
        <v>18.41</v>
      </c>
      <c r="F196" s="3">
        <v>7.83</v>
      </c>
      <c r="G196" s="9">
        <f t="shared" si="3"/>
        <v>0.23143812709030098</v>
      </c>
      <c r="H196" s="8">
        <f t="shared" si="4"/>
        <v>4.9972840847365418E-2</v>
      </c>
      <c r="I196" s="4">
        <f t="shared" si="5"/>
        <v>3.113165042679851E-2</v>
      </c>
      <c r="J196" s="4">
        <f t="shared" si="6"/>
        <v>1.2319999999999992E-2</v>
      </c>
    </row>
    <row r="197" spans="1:10" x14ac:dyDescent="0.3">
      <c r="A197" s="1">
        <v>32507</v>
      </c>
      <c r="B197" s="3">
        <v>12.1</v>
      </c>
      <c r="C197" s="3">
        <v>9.1449999999999996</v>
      </c>
      <c r="D197" s="3">
        <v>120.7</v>
      </c>
      <c r="E197" s="3">
        <v>18.170000000000002</v>
      </c>
      <c r="F197" s="3">
        <v>8.1</v>
      </c>
      <c r="G197" s="9">
        <f t="shared" si="3"/>
        <v>0.15072830905636492</v>
      </c>
      <c r="H197" s="8">
        <f t="shared" si="4"/>
        <v>6.2190423775454029E-2</v>
      </c>
      <c r="I197" s="4">
        <f t="shared" si="5"/>
        <v>3.2235909206323313E-2</v>
      </c>
      <c r="J197" s="4">
        <f t="shared" si="6"/>
        <v>1.0449999999999999E-2</v>
      </c>
    </row>
    <row r="198" spans="1:10" x14ac:dyDescent="0.3">
      <c r="A198" s="1">
        <v>32539</v>
      </c>
      <c r="B198" s="3">
        <v>12.5</v>
      </c>
      <c r="C198" s="3">
        <v>9.0030000000000001</v>
      </c>
      <c r="D198" s="3">
        <v>121.2</v>
      </c>
      <c r="E198" s="3">
        <v>18.579999999999998</v>
      </c>
      <c r="F198" s="3">
        <v>8.39</v>
      </c>
      <c r="G198" s="9">
        <f t="shared" si="3"/>
        <v>0.17594936708860742</v>
      </c>
      <c r="H198" s="8">
        <f t="shared" si="4"/>
        <v>2.2604951560818209E-2</v>
      </c>
      <c r="I198" s="4">
        <f t="shared" si="5"/>
        <v>3.1309786609572343E-2</v>
      </c>
      <c r="J198" s="4">
        <f t="shared" si="6"/>
        <v>6.1299999999999957E-3</v>
      </c>
    </row>
    <row r="199" spans="1:10" x14ac:dyDescent="0.3">
      <c r="A199" s="1">
        <v>32567</v>
      </c>
      <c r="B199" s="3">
        <v>12.1</v>
      </c>
      <c r="C199" s="3">
        <v>9.3230000000000004</v>
      </c>
      <c r="D199" s="3">
        <v>121.6</v>
      </c>
      <c r="E199" s="3">
        <v>18.66</v>
      </c>
      <c r="F199" s="3">
        <v>8.7100000000000009</v>
      </c>
      <c r="G199" s="9">
        <f t="shared" si="3"/>
        <v>0.17803030303030298</v>
      </c>
      <c r="H199" s="8">
        <f t="shared" si="4"/>
        <v>3.2690246516613009E-2</v>
      </c>
      <c r="I199" s="4">
        <f t="shared" si="5"/>
        <v>3.5237112640580465E-2</v>
      </c>
      <c r="J199" s="4">
        <f t="shared" si="6"/>
        <v>6.1299999999999957E-3</v>
      </c>
    </row>
    <row r="200" spans="1:10" x14ac:dyDescent="0.3">
      <c r="A200" s="1">
        <v>32598</v>
      </c>
      <c r="B200" s="3">
        <v>12.4</v>
      </c>
      <c r="C200" s="3">
        <v>9.3040000000000003</v>
      </c>
      <c r="D200" s="3">
        <v>122.2</v>
      </c>
      <c r="E200" s="3">
        <v>18.66</v>
      </c>
      <c r="F200" s="3">
        <v>8.9</v>
      </c>
      <c r="G200" s="9">
        <f t="shared" si="3"/>
        <v>0.12953995157385001</v>
      </c>
      <c r="H200" s="8">
        <f t="shared" si="4"/>
        <v>3.4833869239013771E-2</v>
      </c>
      <c r="I200" s="4">
        <f t="shared" si="5"/>
        <v>3.559106775626629E-2</v>
      </c>
      <c r="J200" s="4">
        <f t="shared" si="6"/>
        <v>4.0399999999999993E-3</v>
      </c>
    </row>
    <row r="201" spans="1:10" x14ac:dyDescent="0.3">
      <c r="A201" s="1">
        <v>32626</v>
      </c>
      <c r="B201" s="3">
        <v>12.7</v>
      </c>
      <c r="C201" s="3">
        <v>9.0180000000000007</v>
      </c>
      <c r="D201" s="3">
        <v>123.1</v>
      </c>
      <c r="E201" s="3">
        <v>19.23</v>
      </c>
      <c r="F201" s="3">
        <v>8.41</v>
      </c>
      <c r="G201" s="9">
        <f t="shared" si="3"/>
        <v>0.16404358353510906</v>
      </c>
      <c r="H201" s="8">
        <f t="shared" si="4"/>
        <v>-1.14404576183047E-2</v>
      </c>
      <c r="I201" s="4">
        <f t="shared" si="5"/>
        <v>3.300877117844378E-2</v>
      </c>
      <c r="J201" s="4">
        <f t="shared" si="6"/>
        <v>6.0800000000000055E-3</v>
      </c>
    </row>
    <row r="202" spans="1:10" x14ac:dyDescent="0.3">
      <c r="A202" s="1">
        <v>32659</v>
      </c>
      <c r="B202" s="3">
        <v>13.1</v>
      </c>
      <c r="C202" s="3">
        <v>8.6029999999999998</v>
      </c>
      <c r="D202" s="3">
        <v>123.7</v>
      </c>
      <c r="E202" s="3">
        <v>19.399999999999999</v>
      </c>
      <c r="F202" s="3">
        <v>8.61</v>
      </c>
      <c r="G202" s="9">
        <f t="shared" si="3"/>
        <v>0.1686746987951806</v>
      </c>
      <c r="H202" s="8">
        <f t="shared" si="4"/>
        <v>-3.5051546391752564E-2</v>
      </c>
      <c r="I202" s="4">
        <f t="shared" si="5"/>
        <v>2.9535723117563417E-2</v>
      </c>
      <c r="J202" s="4">
        <f t="shared" si="6"/>
        <v>-6.9999999999996728E-5</v>
      </c>
    </row>
    <row r="203" spans="1:10" x14ac:dyDescent="0.3">
      <c r="A203" s="1">
        <v>32689</v>
      </c>
      <c r="B203" s="3">
        <v>13</v>
      </c>
      <c r="C203" s="3">
        <v>8.0969999999999995</v>
      </c>
      <c r="D203" s="3">
        <v>124.1</v>
      </c>
      <c r="E203" s="3">
        <v>19.39</v>
      </c>
      <c r="F203" s="3">
        <v>7.99</v>
      </c>
      <c r="G203" s="9">
        <f t="shared" ref="G203:G266" si="7">E203/E191-1</f>
        <v>9.424379232505653E-2</v>
      </c>
      <c r="H203" s="8">
        <f t="shared" si="4"/>
        <v>-3.4038164002062943E-2</v>
      </c>
      <c r="I203" s="4">
        <f t="shared" si="5"/>
        <v>2.5311476986122031E-2</v>
      </c>
      <c r="J203" s="4">
        <f t="shared" si="6"/>
        <v>1.0699999999999933E-3</v>
      </c>
    </row>
    <row r="204" spans="1:10" x14ac:dyDescent="0.3">
      <c r="A204" s="1">
        <v>32720</v>
      </c>
      <c r="B204" s="3">
        <v>14</v>
      </c>
      <c r="C204" s="3">
        <v>7.8129999999999997</v>
      </c>
      <c r="D204" s="3">
        <v>124.5</v>
      </c>
      <c r="E204" s="3">
        <v>19.73</v>
      </c>
      <c r="F204" s="3">
        <v>7.8</v>
      </c>
      <c r="G204" s="9">
        <f t="shared" si="7"/>
        <v>0.11531938948558507</v>
      </c>
      <c r="H204" s="8">
        <f t="shared" si="4"/>
        <v>-4.3081601621895671E-2</v>
      </c>
      <c r="I204" s="4">
        <f t="shared" si="5"/>
        <v>2.3294714262742169E-2</v>
      </c>
      <c r="J204" s="4">
        <f t="shared" si="6"/>
        <v>1.2999999999999901E-4</v>
      </c>
    </row>
    <row r="205" spans="1:10" x14ac:dyDescent="0.3">
      <c r="A205" s="1">
        <v>32751</v>
      </c>
      <c r="B205" s="3">
        <v>14.1</v>
      </c>
      <c r="C205" s="3">
        <v>8.2560000000000002</v>
      </c>
      <c r="D205" s="3">
        <v>124.5</v>
      </c>
      <c r="E205" s="3">
        <v>19.760000000000002</v>
      </c>
      <c r="F205" s="3">
        <v>7.89</v>
      </c>
      <c r="G205" s="9">
        <f t="shared" si="7"/>
        <v>0.11386696730552437</v>
      </c>
      <c r="H205" s="8">
        <f t="shared" si="4"/>
        <v>-3.8967611336032548E-2</v>
      </c>
      <c r="I205" s="4">
        <f t="shared" si="5"/>
        <v>2.8730901147520568E-2</v>
      </c>
      <c r="J205" s="4">
        <f t="shared" si="6"/>
        <v>3.6600000000000053E-3</v>
      </c>
    </row>
    <row r="206" spans="1:10" x14ac:dyDescent="0.3">
      <c r="A206" s="1">
        <v>32780</v>
      </c>
      <c r="B206" s="3">
        <v>14.1</v>
      </c>
      <c r="C206" s="3">
        <v>8.3030000000000008</v>
      </c>
      <c r="D206" s="3">
        <v>124.8</v>
      </c>
      <c r="E206" s="3">
        <v>19.7</v>
      </c>
      <c r="F206" s="3">
        <v>7.91</v>
      </c>
      <c r="G206" s="9">
        <f t="shared" si="7"/>
        <v>8.0043859649122862E-2</v>
      </c>
      <c r="H206" s="8">
        <f t="shared" si="4"/>
        <v>-3.6040609137055868E-2</v>
      </c>
      <c r="I206" s="4">
        <f t="shared" si="5"/>
        <v>2.9943209998056178E-2</v>
      </c>
      <c r="J206" s="4">
        <f t="shared" si="6"/>
        <v>3.9300000000000064E-3</v>
      </c>
    </row>
    <row r="207" spans="1:10" x14ac:dyDescent="0.3">
      <c r="A207" s="1">
        <v>32812</v>
      </c>
      <c r="B207" s="3">
        <v>14.1</v>
      </c>
      <c r="C207" s="3">
        <v>7.923</v>
      </c>
      <c r="D207" s="3">
        <v>125.4</v>
      </c>
      <c r="E207" s="3">
        <v>19.38</v>
      </c>
      <c r="F207" s="3">
        <v>7.77</v>
      </c>
      <c r="G207" s="9">
        <f t="shared" si="7"/>
        <v>6.075533661740562E-2</v>
      </c>
      <c r="H207" s="8">
        <f t="shared" si="4"/>
        <v>1.0319917440659854E-3</v>
      </c>
      <c r="I207" s="4">
        <f t="shared" si="5"/>
        <v>2.6764255002277609E-2</v>
      </c>
      <c r="J207" s="4">
        <f t="shared" si="6"/>
        <v>1.5300000000000047E-3</v>
      </c>
    </row>
    <row r="208" spans="1:10" x14ac:dyDescent="0.3">
      <c r="A208" s="1">
        <v>32842</v>
      </c>
      <c r="B208" s="3">
        <v>14.4</v>
      </c>
      <c r="C208" s="3">
        <v>7.8380000000000001</v>
      </c>
      <c r="D208" s="3">
        <v>125.9</v>
      </c>
      <c r="E208" s="3">
        <v>19.329999999999998</v>
      </c>
      <c r="F208" s="3">
        <v>7.59</v>
      </c>
      <c r="G208" s="9">
        <f t="shared" si="7"/>
        <v>4.9972840847365418E-2</v>
      </c>
      <c r="H208" s="8">
        <f t="shared" si="4"/>
        <v>-5.1733057423692941E-3</v>
      </c>
      <c r="I208" s="4">
        <f t="shared" si="5"/>
        <v>2.6608947342971701E-2</v>
      </c>
      <c r="J208" s="4">
        <f t="shared" si="6"/>
        <v>2.4800000000000022E-3</v>
      </c>
    </row>
    <row r="209" spans="1:10" x14ac:dyDescent="0.3">
      <c r="A209" s="1">
        <v>32871</v>
      </c>
      <c r="B209" s="3">
        <v>14.7</v>
      </c>
      <c r="C209" s="3">
        <v>7.9329999999999998</v>
      </c>
      <c r="D209" s="3">
        <v>126.3</v>
      </c>
      <c r="E209" s="3">
        <v>19.3</v>
      </c>
      <c r="F209" s="3">
        <v>7.55</v>
      </c>
      <c r="G209" s="9">
        <f t="shared" si="7"/>
        <v>6.2190423775454029E-2</v>
      </c>
      <c r="H209" s="8">
        <f t="shared" si="4"/>
        <v>-3.1088082901555847E-3</v>
      </c>
      <c r="I209" s="4">
        <f t="shared" si="5"/>
        <v>2.8463128685132774E-2</v>
      </c>
      <c r="J209" s="4">
        <f t="shared" si="6"/>
        <v>3.8300000000000001E-3</v>
      </c>
    </row>
    <row r="210" spans="1:10" x14ac:dyDescent="0.3">
      <c r="A210" s="1">
        <v>32904</v>
      </c>
      <c r="B210" s="3">
        <v>13.8</v>
      </c>
      <c r="C210" s="3">
        <v>8.423</v>
      </c>
      <c r="D210" s="3">
        <v>127.5</v>
      </c>
      <c r="E210" s="3">
        <v>19</v>
      </c>
      <c r="F210" s="3">
        <v>7.74</v>
      </c>
      <c r="G210" s="9">
        <f t="shared" si="7"/>
        <v>2.2604951560818209E-2</v>
      </c>
      <c r="H210" s="8">
        <f t="shared" si="4"/>
        <v>3.4736842105263177E-2</v>
      </c>
      <c r="I210" s="4">
        <f t="shared" si="5"/>
        <v>3.3861816360560154E-2</v>
      </c>
      <c r="J210" s="4">
        <f t="shared" si="6"/>
        <v>6.8299999999999984E-3</v>
      </c>
    </row>
    <row r="211" spans="1:10" x14ac:dyDescent="0.3">
      <c r="A211" s="1">
        <v>32932</v>
      </c>
      <c r="B211" s="3">
        <v>13.8</v>
      </c>
      <c r="C211" s="3">
        <v>8.5269999999999992</v>
      </c>
      <c r="D211" s="3">
        <v>128</v>
      </c>
      <c r="E211" s="3">
        <v>19.27</v>
      </c>
      <c r="F211" s="3">
        <v>7.77</v>
      </c>
      <c r="G211" s="9">
        <f t="shared" si="7"/>
        <v>3.2690246516613009E-2</v>
      </c>
      <c r="H211" s="8">
        <f t="shared" si="4"/>
        <v>1.5049299429164442E-2</v>
      </c>
      <c r="I211" s="4">
        <f t="shared" si="5"/>
        <v>3.5828370657111239E-2</v>
      </c>
      <c r="J211" s="4">
        <f t="shared" si="6"/>
        <v>7.5699999999999969E-3</v>
      </c>
    </row>
    <row r="212" spans="1:10" x14ac:dyDescent="0.3">
      <c r="A212" s="1">
        <v>32962</v>
      </c>
      <c r="B212" s="3">
        <v>14.1</v>
      </c>
      <c r="C212" s="3">
        <v>8.65</v>
      </c>
      <c r="D212" s="3">
        <v>128.6</v>
      </c>
      <c r="E212" s="3">
        <v>19.309999999999999</v>
      </c>
      <c r="F212" s="3">
        <v>7.8</v>
      </c>
      <c r="G212" s="9">
        <f t="shared" si="7"/>
        <v>3.4833869239013771E-2</v>
      </c>
      <c r="H212" s="8">
        <f t="shared" si="4"/>
        <v>1.2946659761781554E-2</v>
      </c>
      <c r="I212" s="4">
        <f t="shared" si="5"/>
        <v>3.8018322992779505E-2</v>
      </c>
      <c r="J212" s="4">
        <f t="shared" si="6"/>
        <v>8.5000000000000058E-3</v>
      </c>
    </row>
    <row r="213" spans="1:10" x14ac:dyDescent="0.3">
      <c r="A213" s="1">
        <v>32993</v>
      </c>
      <c r="B213" s="3">
        <v>14.1</v>
      </c>
      <c r="C213" s="3">
        <v>9.0399999999999991</v>
      </c>
      <c r="D213" s="3">
        <v>128.9</v>
      </c>
      <c r="E213" s="3">
        <v>19.010000000000002</v>
      </c>
      <c r="F213" s="3">
        <v>7.79</v>
      </c>
      <c r="G213" s="9">
        <f t="shared" si="7"/>
        <v>-1.14404576183047E-2</v>
      </c>
      <c r="H213" s="8">
        <f t="shared" si="4"/>
        <v>3.5244608100999386E-2</v>
      </c>
      <c r="I213" s="4">
        <f t="shared" si="5"/>
        <v>4.2715691064033126E-2</v>
      </c>
      <c r="J213" s="4">
        <f t="shared" si="6"/>
        <v>1.249999999999999E-2</v>
      </c>
    </row>
    <row r="214" spans="1:10" x14ac:dyDescent="0.3">
      <c r="A214" s="1">
        <v>33024</v>
      </c>
      <c r="B214" s="3">
        <v>15.7</v>
      </c>
      <c r="C214" s="3">
        <v>8.6180000000000003</v>
      </c>
      <c r="D214" s="3">
        <v>129.1</v>
      </c>
      <c r="E214" s="3">
        <v>18.72</v>
      </c>
      <c r="F214" s="3">
        <v>7.75</v>
      </c>
      <c r="G214" s="9">
        <f t="shared" si="7"/>
        <v>-3.5051546391752564E-2</v>
      </c>
      <c r="H214" s="8">
        <f t="shared" si="4"/>
        <v>5.0213675213675257E-2</v>
      </c>
      <c r="I214" s="4">
        <f t="shared" si="5"/>
        <v>3.9363839455566291E-2</v>
      </c>
      <c r="J214" s="4">
        <f t="shared" si="6"/>
        <v>8.6800000000000037E-3</v>
      </c>
    </row>
    <row r="215" spans="1:10" x14ac:dyDescent="0.3">
      <c r="A215" s="1">
        <v>33053</v>
      </c>
      <c r="B215" s="3">
        <v>15.7</v>
      </c>
      <c r="C215" s="3">
        <v>8.423</v>
      </c>
      <c r="D215" s="3">
        <v>129.9</v>
      </c>
      <c r="E215" s="3">
        <v>18.73</v>
      </c>
      <c r="F215" s="3">
        <v>7.74</v>
      </c>
      <c r="G215" s="9">
        <f t="shared" si="7"/>
        <v>-3.4038164002062943E-2</v>
      </c>
      <c r="H215" s="8">
        <f t="shared" si="4"/>
        <v>5.125467164975972E-2</v>
      </c>
      <c r="I215" s="4">
        <f t="shared" si="5"/>
        <v>3.7787137204439575E-2</v>
      </c>
      <c r="J215" s="4">
        <f t="shared" si="6"/>
        <v>6.8299999999999984E-3</v>
      </c>
    </row>
    <row r="216" spans="1:10" x14ac:dyDescent="0.3">
      <c r="A216" s="1">
        <v>33085</v>
      </c>
      <c r="B216" s="3">
        <v>15.5</v>
      </c>
      <c r="C216" s="3">
        <v>8.3510000000000009</v>
      </c>
      <c r="D216" s="3">
        <v>130.5</v>
      </c>
      <c r="E216" s="3">
        <v>18.88</v>
      </c>
      <c r="F216" s="3">
        <v>7.49</v>
      </c>
      <c r="G216" s="9">
        <f t="shared" si="7"/>
        <v>-4.3081601621895671E-2</v>
      </c>
      <c r="H216" s="8">
        <f t="shared" si="4"/>
        <v>4.0254237288135597E-2</v>
      </c>
      <c r="I216" s="4">
        <f t="shared" si="5"/>
        <v>3.6711608982988461E-2</v>
      </c>
      <c r="J216" s="4">
        <f t="shared" si="6"/>
        <v>8.6100000000000065E-3</v>
      </c>
    </row>
    <row r="217" spans="1:10" x14ac:dyDescent="0.3">
      <c r="A217" s="1">
        <v>33116</v>
      </c>
      <c r="B217" s="3">
        <v>14</v>
      </c>
      <c r="C217" s="3">
        <v>8.859</v>
      </c>
      <c r="D217" s="3">
        <v>131.6</v>
      </c>
      <c r="E217" s="3">
        <v>18.989999999999998</v>
      </c>
      <c r="F217" s="3">
        <v>7.39</v>
      </c>
      <c r="G217" s="9">
        <f t="shared" si="7"/>
        <v>-3.8967611336032548E-2</v>
      </c>
      <c r="H217" s="8">
        <f t="shared" si="4"/>
        <v>3.2648762506582552E-2</v>
      </c>
      <c r="I217" s="4">
        <f t="shared" si="5"/>
        <v>4.1670579025834764E-2</v>
      </c>
      <c r="J217" s="4">
        <f t="shared" si="6"/>
        <v>1.4690000000000003E-2</v>
      </c>
    </row>
    <row r="218" spans="1:10" x14ac:dyDescent="0.3">
      <c r="A218" s="1">
        <v>33144</v>
      </c>
      <c r="B218" s="3">
        <v>13.3</v>
      </c>
      <c r="C218" s="3">
        <v>8.81</v>
      </c>
      <c r="D218" s="3">
        <v>132.5</v>
      </c>
      <c r="E218" s="3">
        <v>18.989999999999998</v>
      </c>
      <c r="F218" s="3">
        <v>7.14</v>
      </c>
      <c r="G218" s="9">
        <f t="shared" si="7"/>
        <v>-3.6040609137055868E-2</v>
      </c>
      <c r="H218" s="8">
        <f t="shared" si="4"/>
        <v>3.4755134281200695E-2</v>
      </c>
      <c r="I218" s="4">
        <f t="shared" si="5"/>
        <v>4.13441619677683E-2</v>
      </c>
      <c r="J218" s="4">
        <f t="shared" si="6"/>
        <v>1.6700000000000007E-2</v>
      </c>
    </row>
    <row r="219" spans="1:10" x14ac:dyDescent="0.3">
      <c r="A219" s="1">
        <v>33177</v>
      </c>
      <c r="B219" s="3">
        <v>13.1</v>
      </c>
      <c r="C219" s="3">
        <v>8.6270000000000007</v>
      </c>
      <c r="D219" s="3">
        <v>133.4</v>
      </c>
      <c r="E219" s="3">
        <v>19.399999999999999</v>
      </c>
      <c r="F219" s="3">
        <v>7.11</v>
      </c>
      <c r="G219" s="9">
        <f t="shared" si="7"/>
        <v>1.0319917440659854E-3</v>
      </c>
      <c r="H219" s="8">
        <f t="shared" si="4"/>
        <v>-9.2783505154638846E-3</v>
      </c>
      <c r="I219" s="4">
        <f t="shared" si="5"/>
        <v>3.9798893174750549E-2</v>
      </c>
      <c r="J219" s="4">
        <f t="shared" si="6"/>
        <v>1.5170000000000003E-2</v>
      </c>
    </row>
    <row r="220" spans="1:10" x14ac:dyDescent="0.3">
      <c r="A220" s="1">
        <v>33207</v>
      </c>
      <c r="B220" s="3">
        <v>14.1</v>
      </c>
      <c r="C220" s="3">
        <v>8.2560000000000002</v>
      </c>
      <c r="D220" s="3">
        <v>133.69999999999999</v>
      </c>
      <c r="E220" s="3">
        <v>19.23</v>
      </c>
      <c r="F220" s="3">
        <v>7.02</v>
      </c>
      <c r="G220" s="9">
        <f t="shared" si="7"/>
        <v>-5.1733057423692941E-3</v>
      </c>
      <c r="H220" s="8">
        <f t="shared" si="4"/>
        <v>-3.1201248049921304E-3</v>
      </c>
      <c r="I220" s="4">
        <f t="shared" si="5"/>
        <v>3.6959543315127782E-2</v>
      </c>
      <c r="J220" s="4">
        <f t="shared" si="6"/>
        <v>1.2360000000000006E-2</v>
      </c>
    </row>
    <row r="221" spans="1:10" x14ac:dyDescent="0.3">
      <c r="A221" s="1">
        <v>33238</v>
      </c>
      <c r="B221" s="3">
        <v>14.5</v>
      </c>
      <c r="C221" s="3">
        <v>8.0790000000000006</v>
      </c>
      <c r="D221" s="3">
        <v>134.19999999999999</v>
      </c>
      <c r="E221" s="3">
        <v>19.239999999999998</v>
      </c>
      <c r="F221" s="3">
        <v>6.44</v>
      </c>
      <c r="G221" s="9">
        <f t="shared" si="7"/>
        <v>-3.1088082901555847E-3</v>
      </c>
      <c r="H221" s="8">
        <f t="shared" si="4"/>
        <v>-5.197505197505059E-3</v>
      </c>
      <c r="I221" s="4">
        <f t="shared" si="5"/>
        <v>3.577174425903959E-2</v>
      </c>
      <c r="J221" s="4">
        <f t="shared" si="6"/>
        <v>1.6390000000000002E-2</v>
      </c>
    </row>
    <row r="222" spans="1:10" x14ac:dyDescent="0.3">
      <c r="A222" s="1">
        <v>33269</v>
      </c>
      <c r="B222" s="3">
        <v>14.8</v>
      </c>
      <c r="C222" s="3">
        <v>8.0210000000000008</v>
      </c>
      <c r="D222" s="3">
        <v>134.69999999999999</v>
      </c>
      <c r="E222" s="3">
        <v>19.66</v>
      </c>
      <c r="F222" s="3">
        <v>6.19</v>
      </c>
      <c r="G222" s="9">
        <f t="shared" si="7"/>
        <v>3.4736842105263177E-2</v>
      </c>
      <c r="H222" s="8">
        <f t="shared" si="4"/>
        <v>-0.10020345879959303</v>
      </c>
      <c r="I222" s="4">
        <f t="shared" si="5"/>
        <v>3.5766116097876721E-2</v>
      </c>
      <c r="J222" s="4">
        <f t="shared" si="6"/>
        <v>1.8310000000000003E-2</v>
      </c>
    </row>
    <row r="223" spans="1:10" x14ac:dyDescent="0.3">
      <c r="A223" s="1">
        <v>33297</v>
      </c>
      <c r="B223" s="3">
        <v>16</v>
      </c>
      <c r="C223" s="3">
        <v>8.0449999999999999</v>
      </c>
      <c r="D223" s="3">
        <v>134.80000000000001</v>
      </c>
      <c r="E223" s="3">
        <v>19.559999999999999</v>
      </c>
      <c r="F223" s="3">
        <v>6.04</v>
      </c>
      <c r="G223" s="9">
        <f t="shared" si="7"/>
        <v>1.5049299429164442E-2</v>
      </c>
      <c r="H223" s="8">
        <f t="shared" si="4"/>
        <v>-8.8957055214723857E-2</v>
      </c>
      <c r="I223" s="4">
        <f t="shared" si="5"/>
        <v>3.6882075471886905E-2</v>
      </c>
      <c r="J223" s="4">
        <f t="shared" si="6"/>
        <v>2.0049999999999998E-2</v>
      </c>
    </row>
    <row r="224" spans="1:10" x14ac:dyDescent="0.3">
      <c r="A224" s="1">
        <v>33326</v>
      </c>
      <c r="B224" s="3">
        <v>16.5</v>
      </c>
      <c r="C224" s="3">
        <v>8.0640000000000001</v>
      </c>
      <c r="D224" s="3">
        <v>134.80000000000001</v>
      </c>
      <c r="E224" s="3">
        <v>19.559999999999999</v>
      </c>
      <c r="F224" s="3">
        <v>5.74</v>
      </c>
      <c r="G224" s="9">
        <f t="shared" si="7"/>
        <v>1.2946659761781554E-2</v>
      </c>
      <c r="H224" s="8">
        <f t="shared" si="4"/>
        <v>-8.6400817995909929E-2</v>
      </c>
      <c r="I224" s="4">
        <f t="shared" si="5"/>
        <v>3.778094351108692E-2</v>
      </c>
      <c r="J224" s="4">
        <f t="shared" si="6"/>
        <v>2.3239999999999997E-2</v>
      </c>
    </row>
    <row r="225" spans="1:10" x14ac:dyDescent="0.3">
      <c r="A225" s="1">
        <v>33358</v>
      </c>
      <c r="B225" s="3">
        <v>16.3</v>
      </c>
      <c r="C225" s="3">
        <v>8.0180000000000007</v>
      </c>
      <c r="D225" s="3">
        <v>135.1</v>
      </c>
      <c r="E225" s="3">
        <v>19.68</v>
      </c>
      <c r="F225" s="3">
        <v>5.51</v>
      </c>
      <c r="G225" s="9">
        <f t="shared" si="7"/>
        <v>3.5244608100999386E-2</v>
      </c>
      <c r="H225" s="8">
        <f t="shared" si="4"/>
        <v>-7.4695121951219412E-2</v>
      </c>
      <c r="I225" s="4">
        <f t="shared" si="5"/>
        <v>3.7675917188665448E-2</v>
      </c>
      <c r="J225" s="4">
        <f t="shared" si="6"/>
        <v>2.5080000000000009E-2</v>
      </c>
    </row>
    <row r="226" spans="1:10" x14ac:dyDescent="0.3">
      <c r="A226" s="1">
        <v>33389</v>
      </c>
      <c r="B226" s="3">
        <v>16.899999999999999</v>
      </c>
      <c r="C226" s="3">
        <v>8.0609999999999999</v>
      </c>
      <c r="D226" s="3">
        <v>135.6</v>
      </c>
      <c r="E226" s="3">
        <v>19.66</v>
      </c>
      <c r="F226" s="3">
        <v>5.53</v>
      </c>
      <c r="G226" s="9">
        <f t="shared" si="7"/>
        <v>5.0213675213675257E-2</v>
      </c>
      <c r="H226" s="8">
        <f t="shared" si="4"/>
        <v>-7.2736520854526976E-2</v>
      </c>
      <c r="I226" s="4">
        <f t="shared" si="5"/>
        <v>3.8420424916903492E-2</v>
      </c>
      <c r="J226" s="4">
        <f t="shared" si="6"/>
        <v>2.5309999999999996E-2</v>
      </c>
    </row>
    <row r="227" spans="1:10" x14ac:dyDescent="0.3">
      <c r="A227" s="1">
        <v>33417</v>
      </c>
      <c r="B227" s="3">
        <v>16.100000000000001</v>
      </c>
      <c r="C227" s="3">
        <v>8.2319999999999993</v>
      </c>
      <c r="D227" s="3">
        <v>136</v>
      </c>
      <c r="E227" s="3">
        <v>19.690000000000001</v>
      </c>
      <c r="F227" s="3">
        <v>5.54</v>
      </c>
      <c r="G227" s="9">
        <f t="shared" si="7"/>
        <v>5.125467164975972E-2</v>
      </c>
      <c r="H227" s="8">
        <f t="shared" si="4"/>
        <v>-7.4657186389030072E-2</v>
      </c>
      <c r="I227" s="4">
        <f t="shared" si="5"/>
        <v>4.0748632116731673E-2</v>
      </c>
      <c r="J227" s="4">
        <f t="shared" si="6"/>
        <v>2.6919999999999993E-2</v>
      </c>
    </row>
    <row r="228" spans="1:10" x14ac:dyDescent="0.3">
      <c r="A228" s="1">
        <v>33450</v>
      </c>
      <c r="B228" s="3">
        <v>16.899999999999999</v>
      </c>
      <c r="C228" s="3">
        <v>8.157</v>
      </c>
      <c r="D228" s="3">
        <v>136.19999999999999</v>
      </c>
      <c r="E228" s="3">
        <v>19.64</v>
      </c>
      <c r="F228" s="3">
        <v>5.53</v>
      </c>
      <c r="G228" s="9">
        <f t="shared" si="7"/>
        <v>4.0254237288135597E-2</v>
      </c>
      <c r="H228" s="8">
        <f t="shared" si="4"/>
        <v>-4.7861507128309611E-2</v>
      </c>
      <c r="I228" s="4">
        <f t="shared" si="5"/>
        <v>4.0989696010136883E-2</v>
      </c>
      <c r="J228" s="4">
        <f t="shared" si="6"/>
        <v>2.6269999999999998E-2</v>
      </c>
    </row>
    <row r="229" spans="1:10" x14ac:dyDescent="0.3">
      <c r="A229" s="1">
        <v>33480</v>
      </c>
      <c r="B229" s="3">
        <v>17.5</v>
      </c>
      <c r="C229" s="3">
        <v>7.8150000000000004</v>
      </c>
      <c r="D229" s="3">
        <v>136.6</v>
      </c>
      <c r="E229" s="3">
        <v>19.61</v>
      </c>
      <c r="F229" s="3">
        <v>5.33</v>
      </c>
      <c r="G229" s="9">
        <f t="shared" si="7"/>
        <v>3.2648762506582552E-2</v>
      </c>
      <c r="H229" s="8">
        <f t="shared" si="4"/>
        <v>-4.181540030596631E-2</v>
      </c>
      <c r="I229" s="4">
        <f t="shared" si="5"/>
        <v>3.8057468639574543E-2</v>
      </c>
      <c r="J229" s="4">
        <f t="shared" si="6"/>
        <v>2.4850000000000004E-2</v>
      </c>
    </row>
    <row r="230" spans="1:10" x14ac:dyDescent="0.3">
      <c r="A230" s="1">
        <v>33511</v>
      </c>
      <c r="B230" s="3">
        <v>17.2</v>
      </c>
      <c r="C230" s="3">
        <v>7.452</v>
      </c>
      <c r="D230" s="3">
        <v>137</v>
      </c>
      <c r="E230" s="3">
        <v>19.649999999999999</v>
      </c>
      <c r="F230" s="3">
        <v>5.1100000000000003</v>
      </c>
      <c r="G230" s="9">
        <f t="shared" si="7"/>
        <v>3.4755134281200695E-2</v>
      </c>
      <c r="H230" s="8">
        <f t="shared" si="4"/>
        <v>-4.5292620865139854E-2</v>
      </c>
      <c r="I230" s="4">
        <f t="shared" si="5"/>
        <v>3.5133459558392172E-2</v>
      </c>
      <c r="J230" s="4">
        <f t="shared" si="6"/>
        <v>2.3419999999999996E-2</v>
      </c>
    </row>
    <row r="231" spans="1:10" x14ac:dyDescent="0.3">
      <c r="A231" s="1">
        <v>33542</v>
      </c>
      <c r="B231" s="3">
        <v>17.7</v>
      </c>
      <c r="C231" s="3">
        <v>7.4219999999999997</v>
      </c>
      <c r="D231" s="3">
        <v>137.19999999999999</v>
      </c>
      <c r="E231" s="3">
        <v>19.22</v>
      </c>
      <c r="F231" s="3">
        <v>4.82</v>
      </c>
      <c r="G231" s="9">
        <f t="shared" si="7"/>
        <v>-9.2783505154638846E-3</v>
      </c>
      <c r="H231" s="8">
        <f t="shared" si="4"/>
        <v>2.6014568158168494E-2</v>
      </c>
      <c r="I231" s="4">
        <f t="shared" si="5"/>
        <v>3.5016206256876445E-2</v>
      </c>
      <c r="J231" s="4">
        <f t="shared" si="6"/>
        <v>2.6019999999999995E-2</v>
      </c>
    </row>
    <row r="232" spans="1:10" x14ac:dyDescent="0.3">
      <c r="A232" s="1">
        <v>33571</v>
      </c>
      <c r="B232" s="3">
        <v>17.2</v>
      </c>
      <c r="C232" s="3">
        <v>7.3739999999999997</v>
      </c>
      <c r="D232" s="3">
        <v>137.80000000000001</v>
      </c>
      <c r="E232" s="3">
        <v>19.170000000000002</v>
      </c>
      <c r="F232" s="3">
        <v>4.3499999999999996</v>
      </c>
      <c r="G232" s="9">
        <f t="shared" si="7"/>
        <v>-3.1201248049921304E-3</v>
      </c>
      <c r="H232" s="8">
        <f t="shared" si="4"/>
        <v>2.712571726656221E-2</v>
      </c>
      <c r="I232" s="4">
        <f t="shared" si="5"/>
        <v>3.4526839609990784E-2</v>
      </c>
      <c r="J232" s="4">
        <f t="shared" si="6"/>
        <v>3.024E-2</v>
      </c>
    </row>
    <row r="233" spans="1:10" x14ac:dyDescent="0.3">
      <c r="A233" s="1">
        <v>33603</v>
      </c>
      <c r="B233" s="3">
        <v>19.3</v>
      </c>
      <c r="C233" s="3">
        <v>6.6989999999999998</v>
      </c>
      <c r="D233" s="3">
        <v>138.19999999999999</v>
      </c>
      <c r="E233" s="3">
        <v>19.14</v>
      </c>
      <c r="F233" s="3">
        <v>3.88</v>
      </c>
      <c r="G233" s="9">
        <f t="shared" si="7"/>
        <v>-5.197505197505059E-3</v>
      </c>
      <c r="H233" s="8">
        <f t="shared" si="4"/>
        <v>3.0303030303030276E-2</v>
      </c>
      <c r="I233" s="4">
        <f t="shared" si="5"/>
        <v>2.7807458309461075E-2</v>
      </c>
      <c r="J233" s="4">
        <f t="shared" si="6"/>
        <v>2.819E-2</v>
      </c>
    </row>
    <row r="234" spans="1:10" x14ac:dyDescent="0.3">
      <c r="A234" s="1">
        <v>33634</v>
      </c>
      <c r="B234" s="3">
        <v>20.5</v>
      </c>
      <c r="C234" s="3">
        <v>7.2759999999999998</v>
      </c>
      <c r="D234" s="3">
        <v>138.30000000000001</v>
      </c>
      <c r="E234" s="3">
        <v>17.690000000000001</v>
      </c>
      <c r="F234" s="3">
        <v>3.84</v>
      </c>
      <c r="G234" s="9">
        <f t="shared" si="7"/>
        <v>-0.10020345879959303</v>
      </c>
      <c r="H234" s="8">
        <f t="shared" si="4"/>
        <v>0.15036743923120399</v>
      </c>
      <c r="I234" s="4">
        <f t="shared" si="5"/>
        <v>3.3833034525174333E-2</v>
      </c>
      <c r="J234" s="4">
        <f t="shared" si="6"/>
        <v>3.4360000000000002E-2</v>
      </c>
    </row>
    <row r="235" spans="1:10" x14ac:dyDescent="0.3">
      <c r="A235" s="1">
        <v>33662</v>
      </c>
      <c r="B235" s="3">
        <v>20.5</v>
      </c>
      <c r="C235" s="3">
        <v>7.2519999999999998</v>
      </c>
      <c r="D235" s="3">
        <v>138.6</v>
      </c>
      <c r="E235" s="3">
        <v>17.82</v>
      </c>
      <c r="F235" s="3">
        <v>3.93</v>
      </c>
      <c r="G235" s="9">
        <f t="shared" si="7"/>
        <v>-8.8957055214723857E-2</v>
      </c>
      <c r="H235" s="8">
        <f t="shared" si="4"/>
        <v>0.12401795735129073</v>
      </c>
      <c r="I235" s="4">
        <f t="shared" si="5"/>
        <v>3.3697553522993168E-2</v>
      </c>
      <c r="J235" s="4">
        <f t="shared" si="6"/>
        <v>3.322E-2</v>
      </c>
    </row>
    <row r="236" spans="1:10" x14ac:dyDescent="0.3">
      <c r="A236" s="1">
        <v>33694</v>
      </c>
      <c r="B236" s="3">
        <v>20.100000000000001</v>
      </c>
      <c r="C236" s="3">
        <v>7.5309999999999997</v>
      </c>
      <c r="D236" s="3">
        <v>139.1</v>
      </c>
      <c r="E236" s="3">
        <v>17.87</v>
      </c>
      <c r="F236" s="3">
        <v>4.05</v>
      </c>
      <c r="G236" s="9">
        <f t="shared" si="7"/>
        <v>-8.6400817995909929E-2</v>
      </c>
      <c r="H236" s="8">
        <f t="shared" si="4"/>
        <v>0.13262451035254608</v>
      </c>
      <c r="I236" s="4">
        <f t="shared" si="5"/>
        <v>3.6113404933758378E-2</v>
      </c>
      <c r="J236" s="4">
        <f t="shared" si="6"/>
        <v>3.4810000000000001E-2</v>
      </c>
    </row>
    <row r="237" spans="1:10" x14ac:dyDescent="0.3">
      <c r="A237" s="1">
        <v>33724</v>
      </c>
      <c r="B237" s="3">
        <v>20.100000000000001</v>
      </c>
      <c r="C237" s="3">
        <v>7.5830000000000002</v>
      </c>
      <c r="D237" s="3">
        <v>139.4</v>
      </c>
      <c r="E237" s="3">
        <v>18.21</v>
      </c>
      <c r="F237" s="3">
        <v>3.7</v>
      </c>
      <c r="G237" s="9">
        <f t="shared" si="7"/>
        <v>-7.4695121951219412E-2</v>
      </c>
      <c r="H237" s="8">
        <f t="shared" si="4"/>
        <v>0.12630422844590883</v>
      </c>
      <c r="I237" s="4">
        <f t="shared" si="5"/>
        <v>3.6738201795777969E-2</v>
      </c>
      <c r="J237" s="4">
        <f t="shared" si="6"/>
        <v>3.8830000000000003E-2</v>
      </c>
    </row>
    <row r="238" spans="1:10" x14ac:dyDescent="0.3">
      <c r="A238" s="1">
        <v>33753</v>
      </c>
      <c r="B238" s="3">
        <v>20.2</v>
      </c>
      <c r="C238" s="3">
        <v>7.3220000000000001</v>
      </c>
      <c r="D238" s="3">
        <v>139.69999999999999</v>
      </c>
      <c r="E238" s="3">
        <v>18.23</v>
      </c>
      <c r="F238" s="3">
        <v>3.7</v>
      </c>
      <c r="G238" s="9">
        <f t="shared" si="7"/>
        <v>-7.2736520854526976E-2</v>
      </c>
      <c r="H238" s="8">
        <f t="shared" si="4"/>
        <v>0.12781130005485464</v>
      </c>
      <c r="I238" s="4">
        <f t="shared" si="5"/>
        <v>3.4884314978092801E-2</v>
      </c>
      <c r="J238" s="4">
        <f t="shared" si="6"/>
        <v>3.6220000000000002E-2</v>
      </c>
    </row>
    <row r="239" spans="1:10" x14ac:dyDescent="0.3">
      <c r="A239" s="1">
        <v>33785</v>
      </c>
      <c r="B239" s="3">
        <v>19.7</v>
      </c>
      <c r="C239" s="3">
        <v>7.1230000000000002</v>
      </c>
      <c r="D239" s="3">
        <v>140.1</v>
      </c>
      <c r="E239" s="3">
        <v>18.22</v>
      </c>
      <c r="F239" s="3">
        <v>3.57</v>
      </c>
      <c r="G239" s="9">
        <f t="shared" si="7"/>
        <v>-7.4657186389030072E-2</v>
      </c>
      <c r="H239" s="8">
        <f t="shared" si="4"/>
        <v>0.12568605927552157</v>
      </c>
      <c r="I239" s="4">
        <f t="shared" si="5"/>
        <v>3.3781277832981668E-2</v>
      </c>
      <c r="J239" s="4">
        <f t="shared" si="6"/>
        <v>3.5530000000000006E-2</v>
      </c>
    </row>
    <row r="240" spans="1:10" x14ac:dyDescent="0.3">
      <c r="A240" s="1">
        <v>33816</v>
      </c>
      <c r="B240" s="3">
        <v>20.100000000000001</v>
      </c>
      <c r="C240" s="3">
        <v>6.6959999999999997</v>
      </c>
      <c r="D240" s="3">
        <v>140.5</v>
      </c>
      <c r="E240" s="3">
        <v>18.7</v>
      </c>
      <c r="F240" s="3">
        <v>3.18</v>
      </c>
      <c r="G240" s="9">
        <f t="shared" si="7"/>
        <v>-4.7861507128309611E-2</v>
      </c>
      <c r="H240" s="8">
        <f t="shared" si="4"/>
        <v>8.3422459893048195E-2</v>
      </c>
      <c r="I240" s="4">
        <f t="shared" si="5"/>
        <v>2.9748864151712823E-2</v>
      </c>
      <c r="J240" s="4">
        <f t="shared" si="6"/>
        <v>3.5159999999999997E-2</v>
      </c>
    </row>
    <row r="241" spans="1:10" x14ac:dyDescent="0.3">
      <c r="A241" s="1">
        <v>33847</v>
      </c>
      <c r="B241" s="3">
        <v>19.7</v>
      </c>
      <c r="C241" s="3">
        <v>6.6040000000000001</v>
      </c>
      <c r="D241" s="3">
        <v>140.80000000000001</v>
      </c>
      <c r="E241" s="3">
        <v>18.79</v>
      </c>
      <c r="F241" s="3">
        <v>3.16</v>
      </c>
      <c r="G241" s="9">
        <f t="shared" si="7"/>
        <v>-4.181540030596631E-2</v>
      </c>
      <c r="H241" s="8">
        <f t="shared" si="4"/>
        <v>8.1426290580095761E-2</v>
      </c>
      <c r="I241" s="4">
        <f t="shared" si="5"/>
        <v>2.8820174992579287E-2</v>
      </c>
      <c r="J241" s="4">
        <f t="shared" si="6"/>
        <v>3.4439999999999998E-2</v>
      </c>
    </row>
    <row r="242" spans="1:10" x14ac:dyDescent="0.3">
      <c r="A242" s="1">
        <v>33877</v>
      </c>
      <c r="B242" s="3">
        <v>19.899999999999999</v>
      </c>
      <c r="C242" s="3">
        <v>6.3540000000000001</v>
      </c>
      <c r="D242" s="3">
        <v>141.1</v>
      </c>
      <c r="E242" s="3">
        <v>18.760000000000002</v>
      </c>
      <c r="F242" s="3">
        <v>2.69</v>
      </c>
      <c r="G242" s="9">
        <f t="shared" si="7"/>
        <v>-4.5292620865139854E-2</v>
      </c>
      <c r="H242" s="8">
        <f t="shared" si="4"/>
        <v>8.3155650319829411E-2</v>
      </c>
      <c r="I242" s="4">
        <f t="shared" si="5"/>
        <v>2.6099388059731624E-2</v>
      </c>
      <c r="J242" s="4">
        <f t="shared" si="6"/>
        <v>3.6639999999999999E-2</v>
      </c>
    </row>
    <row r="243" spans="1:10" x14ac:dyDescent="0.3">
      <c r="A243" s="1">
        <v>33907</v>
      </c>
      <c r="B243" s="3">
        <v>19.100000000000001</v>
      </c>
      <c r="C243" s="3">
        <v>6.7889999999999997</v>
      </c>
      <c r="D243" s="3">
        <v>141.69999999999999</v>
      </c>
      <c r="E243" s="3">
        <v>19.72</v>
      </c>
      <c r="F243" s="3">
        <v>2.96</v>
      </c>
      <c r="G243" s="9">
        <f t="shared" si="7"/>
        <v>2.6014568158168494E-2</v>
      </c>
      <c r="H243" s="8">
        <f t="shared" si="4"/>
        <v>3.8539553752535483E-2</v>
      </c>
      <c r="I243" s="4">
        <f t="shared" si="5"/>
        <v>3.0433050283622073E-2</v>
      </c>
      <c r="J243" s="4">
        <f t="shared" si="6"/>
        <v>3.8289999999999998E-2</v>
      </c>
    </row>
    <row r="244" spans="1:10" x14ac:dyDescent="0.3">
      <c r="A244" s="1">
        <v>33938</v>
      </c>
      <c r="B244" s="3">
        <v>19.7</v>
      </c>
      <c r="C244" s="3">
        <v>6.9279999999999999</v>
      </c>
      <c r="D244" s="3">
        <v>142.1</v>
      </c>
      <c r="E244" s="3">
        <v>19.690000000000001</v>
      </c>
      <c r="F244" s="3">
        <v>3.27</v>
      </c>
      <c r="G244" s="9">
        <f t="shared" si="7"/>
        <v>2.712571726656221E-2</v>
      </c>
      <c r="H244" s="8">
        <f t="shared" si="4"/>
        <v>4.1645505332656096E-2</v>
      </c>
      <c r="I244" s="4">
        <f t="shared" si="5"/>
        <v>3.1424717317128467E-2</v>
      </c>
      <c r="J244" s="4">
        <f t="shared" si="6"/>
        <v>3.6580000000000001E-2</v>
      </c>
    </row>
    <row r="245" spans="1:10" x14ac:dyDescent="0.3">
      <c r="A245" s="1">
        <v>33969</v>
      </c>
      <c r="B245" s="3">
        <v>19.899999999999999</v>
      </c>
      <c r="C245" s="3">
        <v>6.69</v>
      </c>
      <c r="D245" s="3">
        <v>142.30000000000001</v>
      </c>
      <c r="E245" s="3">
        <v>19.72</v>
      </c>
      <c r="F245" s="3">
        <v>3.08</v>
      </c>
      <c r="G245" s="9">
        <f t="shared" si="7"/>
        <v>3.0303030303030276E-2</v>
      </c>
      <c r="H245" s="8">
        <f t="shared" si="4"/>
        <v>3.6511156186612714E-2</v>
      </c>
      <c r="I245" s="4">
        <f t="shared" si="5"/>
        <v>2.8580444185579298E-2</v>
      </c>
      <c r="J245" s="4">
        <f t="shared" si="6"/>
        <v>3.61E-2</v>
      </c>
    </row>
    <row r="246" spans="1:10" x14ac:dyDescent="0.3">
      <c r="A246" s="1">
        <v>33998</v>
      </c>
      <c r="B246" s="3">
        <v>19.2</v>
      </c>
      <c r="C246" s="3">
        <v>6.3609999999999998</v>
      </c>
      <c r="D246" s="3">
        <v>142.80000000000001</v>
      </c>
      <c r="E246" s="3">
        <v>20.350000000000001</v>
      </c>
      <c r="F246" s="3">
        <v>2.9</v>
      </c>
      <c r="G246" s="9">
        <f t="shared" si="7"/>
        <v>0.15036743923120399</v>
      </c>
      <c r="H246" s="8">
        <f t="shared" si="4"/>
        <v>9.3366093366091807E-3</v>
      </c>
      <c r="I246" s="4">
        <f t="shared" si="5"/>
        <v>2.5138573204479819E-2</v>
      </c>
      <c r="J246" s="4">
        <f t="shared" si="6"/>
        <v>3.4610000000000002E-2</v>
      </c>
    </row>
    <row r="247" spans="1:10" x14ac:dyDescent="0.3">
      <c r="A247" s="1">
        <v>34026</v>
      </c>
      <c r="B247" s="3">
        <v>19.600000000000001</v>
      </c>
      <c r="C247" s="3">
        <v>6.0140000000000002</v>
      </c>
      <c r="D247" s="3">
        <v>143.1</v>
      </c>
      <c r="E247" s="3">
        <v>20.03</v>
      </c>
      <c r="F247" s="3">
        <v>2.95</v>
      </c>
      <c r="G247" s="9">
        <f t="shared" si="7"/>
        <v>0.12401795735129073</v>
      </c>
      <c r="H247" s="8">
        <f t="shared" si="4"/>
        <v>5.04243634548176E-2</v>
      </c>
      <c r="I247" s="4">
        <f t="shared" si="5"/>
        <v>2.1556650326693211E-2</v>
      </c>
      <c r="J247" s="4">
        <f t="shared" si="6"/>
        <v>3.0640000000000001E-2</v>
      </c>
    </row>
    <row r="248" spans="1:10" x14ac:dyDescent="0.3">
      <c r="A248" s="1">
        <v>34059</v>
      </c>
      <c r="B248" s="3">
        <v>19.7</v>
      </c>
      <c r="C248" s="3">
        <v>6.024</v>
      </c>
      <c r="D248" s="3">
        <v>143.30000000000001</v>
      </c>
      <c r="E248" s="3">
        <v>20.239999999999998</v>
      </c>
      <c r="F248" s="3">
        <v>2.89</v>
      </c>
      <c r="G248" s="9">
        <f t="shared" si="7"/>
        <v>0.13262451035254608</v>
      </c>
      <c r="H248" s="8">
        <f t="shared" si="4"/>
        <v>3.9031620553359847E-2</v>
      </c>
      <c r="I248" s="4">
        <f t="shared" si="5"/>
        <v>2.1617519884746736E-2</v>
      </c>
      <c r="J248" s="4">
        <f t="shared" si="6"/>
        <v>3.134E-2</v>
      </c>
    </row>
    <row r="249" spans="1:10" x14ac:dyDescent="0.3">
      <c r="A249" s="1">
        <v>34089</v>
      </c>
      <c r="B249" s="3">
        <v>18.7</v>
      </c>
      <c r="C249" s="3">
        <v>6.0090000000000003</v>
      </c>
      <c r="D249" s="3">
        <v>143.80000000000001</v>
      </c>
      <c r="E249" s="3">
        <v>20.51</v>
      </c>
      <c r="F249" s="3">
        <v>2.91</v>
      </c>
      <c r="G249" s="9">
        <f t="shared" si="7"/>
        <v>0.12630422844590883</v>
      </c>
      <c r="H249" s="8">
        <f t="shared" si="4"/>
        <v>5.9483178937103753E-2</v>
      </c>
      <c r="I249" s="4">
        <f t="shared" si="5"/>
        <v>2.1844173211960999E-2</v>
      </c>
      <c r="J249" s="4">
        <f t="shared" si="6"/>
        <v>3.0990000000000004E-2</v>
      </c>
    </row>
    <row r="250" spans="1:10" x14ac:dyDescent="0.3">
      <c r="A250" s="1">
        <v>34120</v>
      </c>
      <c r="B250" s="3">
        <v>19.100000000000001</v>
      </c>
      <c r="C250" s="3">
        <v>6.1470000000000002</v>
      </c>
      <c r="D250" s="3">
        <v>144.19999999999999</v>
      </c>
      <c r="E250" s="3">
        <v>20.56</v>
      </c>
      <c r="F250" s="3">
        <v>3.06</v>
      </c>
      <c r="G250" s="9">
        <f t="shared" si="7"/>
        <v>0.12781130005485464</v>
      </c>
      <c r="H250" s="8">
        <f t="shared" si="4"/>
        <v>6.0797665369649811E-2</v>
      </c>
      <c r="I250" s="4">
        <f t="shared" si="5"/>
        <v>2.3355256966308115E-2</v>
      </c>
      <c r="J250" s="4">
        <f t="shared" si="6"/>
        <v>3.0870000000000002E-2</v>
      </c>
    </row>
    <row r="251" spans="1:10" x14ac:dyDescent="0.3">
      <c r="A251" s="1">
        <v>34150</v>
      </c>
      <c r="B251" s="3">
        <v>19.2</v>
      </c>
      <c r="C251" s="3">
        <v>5.7779999999999996</v>
      </c>
      <c r="D251" s="3">
        <v>144.30000000000001</v>
      </c>
      <c r="E251" s="3">
        <v>20.51</v>
      </c>
      <c r="F251" s="3">
        <v>3.03</v>
      </c>
      <c r="G251" s="9">
        <f t="shared" si="7"/>
        <v>0.12568605927552157</v>
      </c>
      <c r="H251" s="8">
        <f t="shared" si="4"/>
        <v>6.4846416382252414E-2</v>
      </c>
      <c r="I251" s="4">
        <f t="shared" si="5"/>
        <v>1.9802368173169216E-2</v>
      </c>
      <c r="J251" s="4">
        <f t="shared" si="6"/>
        <v>2.7479999999999997E-2</v>
      </c>
    </row>
    <row r="252" spans="1:10" x14ac:dyDescent="0.3">
      <c r="A252" s="1">
        <v>34180</v>
      </c>
      <c r="B252" s="3">
        <v>19.2</v>
      </c>
      <c r="C252" s="3">
        <v>5.81</v>
      </c>
      <c r="D252" s="3">
        <v>144.5</v>
      </c>
      <c r="E252" s="3">
        <v>20.260000000000002</v>
      </c>
      <c r="F252" s="3">
        <v>3.03</v>
      </c>
      <c r="G252" s="9">
        <f t="shared" si="7"/>
        <v>8.3422459893048195E-2</v>
      </c>
      <c r="H252" s="8">
        <f t="shared" si="4"/>
        <v>0.11944718657453102</v>
      </c>
      <c r="I252" s="4">
        <f t="shared" si="5"/>
        <v>2.0395427059363549E-2</v>
      </c>
      <c r="J252" s="4">
        <f t="shared" si="6"/>
        <v>2.7799999999999998E-2</v>
      </c>
    </row>
    <row r="253" spans="1:10" x14ac:dyDescent="0.3">
      <c r="A253" s="1">
        <v>34212</v>
      </c>
      <c r="B253" s="3">
        <v>19.8</v>
      </c>
      <c r="C253" s="3">
        <v>5.4459999999999997</v>
      </c>
      <c r="D253" s="3">
        <v>144.80000000000001</v>
      </c>
      <c r="E253" s="3">
        <v>20.32</v>
      </c>
      <c r="F253" s="3">
        <v>3.01</v>
      </c>
      <c r="G253" s="9">
        <f t="shared" si="7"/>
        <v>8.1426290580095761E-2</v>
      </c>
      <c r="H253" s="8">
        <f t="shared" si="4"/>
        <v>0.15600393700787385</v>
      </c>
      <c r="I253" s="4">
        <f t="shared" si="5"/>
        <v>1.6851672870744225E-2</v>
      </c>
      <c r="J253" s="4">
        <f t="shared" si="6"/>
        <v>2.436E-2</v>
      </c>
    </row>
    <row r="254" spans="1:10" x14ac:dyDescent="0.3">
      <c r="A254" s="1">
        <v>34242</v>
      </c>
      <c r="B254" s="3">
        <v>19.600000000000001</v>
      </c>
      <c r="C254" s="3">
        <v>5.3739999999999997</v>
      </c>
      <c r="D254" s="3">
        <v>145</v>
      </c>
      <c r="E254" s="3">
        <v>20.32</v>
      </c>
      <c r="F254" s="3">
        <v>2.92</v>
      </c>
      <c r="G254" s="9">
        <f t="shared" si="7"/>
        <v>8.3155650319829411E-2</v>
      </c>
      <c r="H254" s="8">
        <f t="shared" si="4"/>
        <v>0.15452755905511806</v>
      </c>
      <c r="I254" s="4">
        <f t="shared" si="5"/>
        <v>1.6298948666926591E-2</v>
      </c>
      <c r="J254" s="4">
        <f t="shared" si="6"/>
        <v>2.4539999999999996E-2</v>
      </c>
    </row>
    <row r="255" spans="1:10" x14ac:dyDescent="0.3">
      <c r="A255" s="1">
        <v>34271</v>
      </c>
      <c r="B255" s="3">
        <v>20</v>
      </c>
      <c r="C255" s="3">
        <v>5.42</v>
      </c>
      <c r="D255" s="3">
        <v>145.6</v>
      </c>
      <c r="E255" s="3">
        <v>20.48</v>
      </c>
      <c r="F255" s="3">
        <v>3.03</v>
      </c>
      <c r="G255" s="9">
        <f t="shared" si="7"/>
        <v>3.8539553752535483E-2</v>
      </c>
      <c r="H255" s="8">
        <f t="shared" ref="H255:H318" si="8">G267</f>
        <v>0.21044921875</v>
      </c>
      <c r="I255" s="4">
        <f t="shared" ref="I255:I318" si="9">C255%-((D255/D135)^(1/10)-1)</f>
        <v>1.674305028362208E-2</v>
      </c>
      <c r="J255" s="4">
        <f t="shared" ref="J255:J318" si="10">(C255-F255)%</f>
        <v>2.3900000000000001E-2</v>
      </c>
    </row>
    <row r="256" spans="1:10" x14ac:dyDescent="0.3">
      <c r="A256" s="1">
        <v>34303</v>
      </c>
      <c r="B256" s="3">
        <v>19.7</v>
      </c>
      <c r="C256" s="3">
        <v>5.8170000000000002</v>
      </c>
      <c r="D256" s="3">
        <v>146</v>
      </c>
      <c r="E256" s="3">
        <v>20.51</v>
      </c>
      <c r="F256" s="3">
        <v>3.14</v>
      </c>
      <c r="G256" s="9">
        <f t="shared" si="7"/>
        <v>4.1645505332656096E-2</v>
      </c>
      <c r="H256" s="8">
        <f t="shared" si="8"/>
        <v>0.21843003412969275</v>
      </c>
      <c r="I256" s="4">
        <f t="shared" si="9"/>
        <v>2.0736733541527552E-2</v>
      </c>
      <c r="J256" s="4">
        <f t="shared" si="10"/>
        <v>2.6770000000000002E-2</v>
      </c>
    </row>
    <row r="257" spans="1:10" x14ac:dyDescent="0.3">
      <c r="A257" s="1">
        <v>34334</v>
      </c>
      <c r="B257" s="3">
        <v>20</v>
      </c>
      <c r="C257" s="3">
        <v>5.7919999999999998</v>
      </c>
      <c r="D257" s="3">
        <v>146.30000000000001</v>
      </c>
      <c r="E257" s="3">
        <v>20.440000000000001</v>
      </c>
      <c r="F257" s="3">
        <v>3.01</v>
      </c>
      <c r="G257" s="9">
        <f t="shared" si="7"/>
        <v>3.6511156186612714E-2</v>
      </c>
      <c r="H257" s="8">
        <f t="shared" si="8"/>
        <v>0.22260273972602729</v>
      </c>
      <c r="I257" s="4">
        <f t="shared" si="9"/>
        <v>2.0581164595760121E-2</v>
      </c>
      <c r="J257" s="4">
        <f t="shared" si="10"/>
        <v>2.7820000000000001E-2</v>
      </c>
    </row>
    <row r="258" spans="1:10" x14ac:dyDescent="0.3">
      <c r="A258" s="1">
        <v>34365</v>
      </c>
      <c r="B258" s="3">
        <v>20.5</v>
      </c>
      <c r="C258" s="3">
        <v>5.6449999999999996</v>
      </c>
      <c r="D258" s="3">
        <v>146.30000000000001</v>
      </c>
      <c r="E258" s="3">
        <v>20.54</v>
      </c>
      <c r="F258" s="3">
        <v>2.96</v>
      </c>
      <c r="G258" s="9">
        <f t="shared" si="7"/>
        <v>9.3366093366091807E-3</v>
      </c>
      <c r="H258" s="8">
        <f t="shared" si="8"/>
        <v>0.2843232716650439</v>
      </c>
      <c r="I258" s="4">
        <f t="shared" si="9"/>
        <v>1.9824570322668371E-2</v>
      </c>
      <c r="J258" s="4">
        <f t="shared" si="10"/>
        <v>2.6849999999999995E-2</v>
      </c>
    </row>
    <row r="259" spans="1:10" x14ac:dyDescent="0.3">
      <c r="A259" s="1">
        <v>34393</v>
      </c>
      <c r="B259" s="3">
        <v>19.5</v>
      </c>
      <c r="C259" s="3">
        <v>6.133</v>
      </c>
      <c r="D259" s="3">
        <v>146.69999999999999</v>
      </c>
      <c r="E259" s="3">
        <v>21.04</v>
      </c>
      <c r="F259" s="3">
        <v>3.36</v>
      </c>
      <c r="G259" s="9">
        <f t="shared" si="7"/>
        <v>5.04243634548176E-2</v>
      </c>
      <c r="H259" s="8">
        <f t="shared" si="8"/>
        <v>0.2671102661596958</v>
      </c>
      <c r="I259" s="4">
        <f t="shared" si="9"/>
        <v>2.4927921461017973E-2</v>
      </c>
      <c r="J259" s="4">
        <f t="shared" si="10"/>
        <v>2.7730000000000001E-2</v>
      </c>
    </row>
    <row r="260" spans="1:10" x14ac:dyDescent="0.3">
      <c r="A260" s="1">
        <v>34424</v>
      </c>
      <c r="B260" s="3">
        <v>18.600000000000001</v>
      </c>
      <c r="C260" s="3">
        <v>6.7350000000000003</v>
      </c>
      <c r="D260" s="3">
        <v>147.1</v>
      </c>
      <c r="E260" s="3">
        <v>21.03</v>
      </c>
      <c r="F260" s="3">
        <v>3.48</v>
      </c>
      <c r="G260" s="9">
        <f t="shared" si="7"/>
        <v>3.9031620553359847E-2</v>
      </c>
      <c r="H260" s="8">
        <f t="shared" si="8"/>
        <v>0.26866381359961955</v>
      </c>
      <c r="I260" s="4">
        <f t="shared" si="9"/>
        <v>3.0968314299999009E-2</v>
      </c>
      <c r="J260" s="4">
        <f t="shared" si="10"/>
        <v>3.2550000000000003E-2</v>
      </c>
    </row>
    <row r="261" spans="1:10" x14ac:dyDescent="0.3">
      <c r="A261" s="1">
        <v>34453</v>
      </c>
      <c r="B261" s="3">
        <v>18.3</v>
      </c>
      <c r="C261" s="3">
        <v>7.04</v>
      </c>
      <c r="D261" s="3">
        <v>147.19999999999999</v>
      </c>
      <c r="E261" s="3">
        <v>21.73</v>
      </c>
      <c r="F261" s="3">
        <v>3.87</v>
      </c>
      <c r="G261" s="9">
        <f t="shared" si="7"/>
        <v>5.9483178937103753E-2</v>
      </c>
      <c r="H261" s="8">
        <f t="shared" si="8"/>
        <v>0.28992176714219986</v>
      </c>
      <c r="I261" s="4">
        <f t="shared" si="9"/>
        <v>3.4349919399488713E-2</v>
      </c>
      <c r="J261" s="4">
        <f t="shared" si="10"/>
        <v>3.1699999999999999E-2</v>
      </c>
    </row>
    <row r="262" spans="1:10" x14ac:dyDescent="0.3">
      <c r="A262" s="1">
        <v>34485</v>
      </c>
      <c r="B262" s="3">
        <v>18.3</v>
      </c>
      <c r="C262" s="3">
        <v>7.1520000000000001</v>
      </c>
      <c r="D262" s="3">
        <v>147.5</v>
      </c>
      <c r="E262" s="3">
        <v>21.81</v>
      </c>
      <c r="F262" s="3">
        <v>4.16</v>
      </c>
      <c r="G262" s="9">
        <f t="shared" si="7"/>
        <v>6.0797665369649811E-2</v>
      </c>
      <c r="H262" s="8">
        <f t="shared" si="8"/>
        <v>0.2998624484181569</v>
      </c>
      <c r="I262" s="4">
        <f t="shared" si="9"/>
        <v>3.5459379307404698E-2</v>
      </c>
      <c r="J262" s="4">
        <f t="shared" si="10"/>
        <v>2.9919999999999999E-2</v>
      </c>
    </row>
    <row r="263" spans="1:10" x14ac:dyDescent="0.3">
      <c r="A263" s="1">
        <v>34515</v>
      </c>
      <c r="B263" s="3">
        <v>17.7</v>
      </c>
      <c r="C263" s="3">
        <v>7.3250000000000002</v>
      </c>
      <c r="D263" s="3">
        <v>147.9</v>
      </c>
      <c r="E263" s="3">
        <v>21.84</v>
      </c>
      <c r="F263" s="3">
        <v>4.1500000000000004</v>
      </c>
      <c r="G263" s="9">
        <f t="shared" si="7"/>
        <v>6.4846416382252414E-2</v>
      </c>
      <c r="H263" s="8">
        <f t="shared" si="8"/>
        <v>0.29899267399267404</v>
      </c>
      <c r="I263" s="4">
        <f t="shared" si="9"/>
        <v>3.7108802630090046E-2</v>
      </c>
      <c r="J263" s="4">
        <f t="shared" si="10"/>
        <v>3.175E-2</v>
      </c>
    </row>
    <row r="264" spans="1:10" x14ac:dyDescent="0.3">
      <c r="A264" s="1">
        <v>34544</v>
      </c>
      <c r="B264" s="3">
        <v>17.600000000000001</v>
      </c>
      <c r="C264" s="3">
        <v>7.1020000000000003</v>
      </c>
      <c r="D264" s="3">
        <v>148.4</v>
      </c>
      <c r="E264" s="3">
        <v>22.68</v>
      </c>
      <c r="F264" s="3">
        <v>4.2699999999999996</v>
      </c>
      <c r="G264" s="9">
        <f t="shared" si="7"/>
        <v>0.11944718657453102</v>
      </c>
      <c r="H264" s="8">
        <f t="shared" si="8"/>
        <v>0.30114638447971798</v>
      </c>
      <c r="I264" s="4">
        <f t="shared" si="9"/>
        <v>3.4928007741780759E-2</v>
      </c>
      <c r="J264" s="4">
        <f t="shared" si="10"/>
        <v>2.8320000000000008E-2</v>
      </c>
    </row>
    <row r="265" spans="1:10" x14ac:dyDescent="0.3">
      <c r="A265" s="1">
        <v>34577</v>
      </c>
      <c r="B265" s="3">
        <v>17.8</v>
      </c>
      <c r="C265" s="3">
        <v>7.1760000000000002</v>
      </c>
      <c r="D265" s="3">
        <v>149</v>
      </c>
      <c r="E265" s="3">
        <v>23.49</v>
      </c>
      <c r="F265" s="3">
        <v>4.5599999999999996</v>
      </c>
      <c r="G265" s="9">
        <f t="shared" si="7"/>
        <v>0.15600393700787385</v>
      </c>
      <c r="H265" s="8">
        <f t="shared" si="8"/>
        <v>0.26990208599403998</v>
      </c>
      <c r="I265" s="4">
        <f t="shared" si="9"/>
        <v>3.5548096427515621E-2</v>
      </c>
      <c r="J265" s="4">
        <f t="shared" si="10"/>
        <v>2.6160000000000006E-2</v>
      </c>
    </row>
    <row r="266" spans="1:10" x14ac:dyDescent="0.3">
      <c r="A266" s="1">
        <v>34607</v>
      </c>
      <c r="B266" s="3">
        <v>17.399999999999999</v>
      </c>
      <c r="C266" s="3">
        <v>7.5979999999999999</v>
      </c>
      <c r="D266" s="3">
        <v>149.30000000000001</v>
      </c>
      <c r="E266" s="3">
        <v>23.46</v>
      </c>
      <c r="F266" s="3">
        <v>4.67</v>
      </c>
      <c r="G266" s="9">
        <f t="shared" si="7"/>
        <v>0.15452755905511806</v>
      </c>
      <c r="H266" s="8">
        <f t="shared" si="8"/>
        <v>0.27280477408354642</v>
      </c>
      <c r="I266" s="4">
        <f t="shared" si="9"/>
        <v>3.9857004135989194E-2</v>
      </c>
      <c r="J266" s="4">
        <f t="shared" si="10"/>
        <v>2.928E-2</v>
      </c>
    </row>
    <row r="267" spans="1:10" x14ac:dyDescent="0.3">
      <c r="A267" s="1">
        <v>34638</v>
      </c>
      <c r="B267" s="3">
        <v>16.8</v>
      </c>
      <c r="C267" s="3">
        <v>7.798</v>
      </c>
      <c r="D267" s="3">
        <v>149.4</v>
      </c>
      <c r="E267" s="3">
        <v>24.79</v>
      </c>
      <c r="F267" s="3">
        <v>5.03</v>
      </c>
      <c r="G267" s="9">
        <f t="shared" ref="G267:G330" si="11">E267/E255-1</f>
        <v>0.21044921875</v>
      </c>
      <c r="H267" s="8">
        <f t="shared" si="8"/>
        <v>0.22872125857200487</v>
      </c>
      <c r="I267" s="4">
        <f t="shared" si="9"/>
        <v>4.2182667726470779E-2</v>
      </c>
      <c r="J267" s="4">
        <f t="shared" si="10"/>
        <v>2.7679999999999996E-2</v>
      </c>
    </row>
    <row r="268" spans="1:10" x14ac:dyDescent="0.3">
      <c r="A268" s="1">
        <v>34668</v>
      </c>
      <c r="B268" s="3">
        <v>16.2</v>
      </c>
      <c r="C268" s="3">
        <v>7.9020000000000001</v>
      </c>
      <c r="D268" s="3">
        <v>149.80000000000001</v>
      </c>
      <c r="E268" s="3">
        <v>24.99</v>
      </c>
      <c r="F268" s="3">
        <v>5.56</v>
      </c>
      <c r="G268" s="9">
        <f t="shared" si="11"/>
        <v>0.21843003412969275</v>
      </c>
      <c r="H268" s="8">
        <f t="shared" si="8"/>
        <v>0.21488595438175273</v>
      </c>
      <c r="I268" s="4">
        <f t="shared" si="9"/>
        <v>4.314263301541113E-2</v>
      </c>
      <c r="J268" s="4">
        <f t="shared" si="10"/>
        <v>2.3420000000000007E-2</v>
      </c>
    </row>
    <row r="269" spans="1:10" x14ac:dyDescent="0.3">
      <c r="A269" s="1">
        <v>34698</v>
      </c>
      <c r="B269" s="3">
        <v>16.399999999999999</v>
      </c>
      <c r="C269" s="3">
        <v>7.8220000000000001</v>
      </c>
      <c r="D269" s="3">
        <v>150.1</v>
      </c>
      <c r="E269" s="3">
        <v>24.99</v>
      </c>
      <c r="F269" s="3">
        <v>5.53</v>
      </c>
      <c r="G269" s="9">
        <f t="shared" si="11"/>
        <v>0.22260273972602729</v>
      </c>
      <c r="H269" s="8">
        <f t="shared" si="8"/>
        <v>0.21568627450980404</v>
      </c>
      <c r="I269" s="4">
        <f t="shared" si="9"/>
        <v>4.2331949565461754E-2</v>
      </c>
      <c r="J269" s="4">
        <f t="shared" si="10"/>
        <v>2.2919999999999999E-2</v>
      </c>
    </row>
    <row r="270" spans="1:10" x14ac:dyDescent="0.3">
      <c r="A270" s="1">
        <v>34730</v>
      </c>
      <c r="B270" s="3">
        <v>15.9</v>
      </c>
      <c r="C270" s="3">
        <v>7.5789999999999997</v>
      </c>
      <c r="D270" s="3">
        <v>150.5</v>
      </c>
      <c r="E270" s="3">
        <v>26.38</v>
      </c>
      <c r="F270" s="3">
        <v>5.83</v>
      </c>
      <c r="G270" s="9">
        <f t="shared" si="11"/>
        <v>0.2843232716650439</v>
      </c>
      <c r="H270" s="8">
        <f t="shared" si="8"/>
        <v>0.13949962092494306</v>
      </c>
      <c r="I270" s="4">
        <f t="shared" si="9"/>
        <v>3.9822451887158578E-2</v>
      </c>
      <c r="J270" s="4">
        <f t="shared" si="10"/>
        <v>1.7489999999999995E-2</v>
      </c>
    </row>
    <row r="271" spans="1:10" x14ac:dyDescent="0.3">
      <c r="A271" s="1">
        <v>34758</v>
      </c>
      <c r="B271" s="3">
        <v>16.3</v>
      </c>
      <c r="C271" s="3">
        <v>7.2060000000000004</v>
      </c>
      <c r="D271" s="3">
        <v>150.9</v>
      </c>
      <c r="E271" s="3">
        <v>26.66</v>
      </c>
      <c r="F271" s="3">
        <v>5.76</v>
      </c>
      <c r="G271" s="9">
        <f t="shared" si="11"/>
        <v>0.2671102661596958</v>
      </c>
      <c r="H271" s="8">
        <f t="shared" si="8"/>
        <v>0.14441110277569402</v>
      </c>
      <c r="I271" s="4">
        <f t="shared" si="9"/>
        <v>3.640382841567423E-2</v>
      </c>
      <c r="J271" s="4">
        <f t="shared" si="10"/>
        <v>1.4460000000000006E-2</v>
      </c>
    </row>
    <row r="272" spans="1:10" x14ac:dyDescent="0.3">
      <c r="A272" s="1">
        <v>34789</v>
      </c>
      <c r="B272" s="3">
        <v>16.7</v>
      </c>
      <c r="C272" s="3">
        <v>7.1959999999999997</v>
      </c>
      <c r="D272" s="3">
        <v>151.19999999999999</v>
      </c>
      <c r="E272" s="3">
        <v>26.68</v>
      </c>
      <c r="F272" s="3">
        <v>5.7</v>
      </c>
      <c r="G272" s="9">
        <f t="shared" si="11"/>
        <v>0.26866381359961955</v>
      </c>
      <c r="H272" s="8">
        <f t="shared" si="8"/>
        <v>0.14542728635682156</v>
      </c>
      <c r="I272" s="4">
        <f t="shared" si="9"/>
        <v>3.6584095303795E-2</v>
      </c>
      <c r="J272" s="4">
        <f t="shared" si="10"/>
        <v>1.4959999999999996E-2</v>
      </c>
    </row>
    <row r="273" spans="1:10" x14ac:dyDescent="0.3">
      <c r="A273" s="1">
        <v>34817</v>
      </c>
      <c r="B273" s="3">
        <v>16.3</v>
      </c>
      <c r="C273" s="3">
        <v>7.0529999999999999</v>
      </c>
      <c r="D273" s="3">
        <v>151.80000000000001</v>
      </c>
      <c r="E273" s="3">
        <v>28.03</v>
      </c>
      <c r="F273" s="3">
        <v>5.69</v>
      </c>
      <c r="G273" s="9">
        <f t="shared" si="11"/>
        <v>0.28992176714219986</v>
      </c>
      <c r="H273" s="8">
        <f t="shared" si="8"/>
        <v>0.10881198715661777</v>
      </c>
      <c r="I273" s="4">
        <f t="shared" si="9"/>
        <v>3.4937731600513736E-2</v>
      </c>
      <c r="J273" s="4">
        <f t="shared" si="10"/>
        <v>1.3629999999999996E-2</v>
      </c>
    </row>
    <row r="274" spans="1:10" x14ac:dyDescent="0.3">
      <c r="A274" s="1">
        <v>34850</v>
      </c>
      <c r="B274" s="3">
        <v>16.7</v>
      </c>
      <c r="C274" s="3">
        <v>6.282</v>
      </c>
      <c r="D274" s="3">
        <v>152.1</v>
      </c>
      <c r="E274" s="3">
        <v>28.35</v>
      </c>
      <c r="F274" s="3">
        <v>5.63</v>
      </c>
      <c r="G274" s="9">
        <f t="shared" si="11"/>
        <v>0.2998624484181569</v>
      </c>
      <c r="H274" s="8">
        <f t="shared" si="8"/>
        <v>9.8765432098765427E-2</v>
      </c>
      <c r="I274" s="4">
        <f t="shared" si="9"/>
        <v>2.7216658975434696E-2</v>
      </c>
      <c r="J274" s="4">
        <f t="shared" si="10"/>
        <v>6.5200000000000015E-3</v>
      </c>
    </row>
    <row r="275" spans="1:10" x14ac:dyDescent="0.3">
      <c r="A275" s="1">
        <v>34880</v>
      </c>
      <c r="B275" s="3">
        <v>17.100000000000001</v>
      </c>
      <c r="C275" s="3">
        <v>6.2050000000000001</v>
      </c>
      <c r="D275" s="3">
        <v>152.4</v>
      </c>
      <c r="E275" s="3">
        <v>28.37</v>
      </c>
      <c r="F275" s="3">
        <v>5.44</v>
      </c>
      <c r="G275" s="9">
        <f t="shared" si="11"/>
        <v>0.29899267399267404</v>
      </c>
      <c r="H275" s="8">
        <f t="shared" si="8"/>
        <v>9.869580542826939E-2</v>
      </c>
      <c r="I275" s="4">
        <f t="shared" si="9"/>
        <v>2.6532005219783557E-2</v>
      </c>
      <c r="J275" s="4">
        <f t="shared" si="10"/>
        <v>7.6499999999999971E-3</v>
      </c>
    </row>
    <row r="276" spans="1:10" x14ac:dyDescent="0.3">
      <c r="A276" s="1">
        <v>34911</v>
      </c>
      <c r="B276" s="3">
        <v>16.899999999999999</v>
      </c>
      <c r="C276" s="3">
        <v>6.4180000000000001</v>
      </c>
      <c r="D276" s="3">
        <v>152.6</v>
      </c>
      <c r="E276" s="3">
        <v>29.51</v>
      </c>
      <c r="F276" s="3">
        <v>5.42</v>
      </c>
      <c r="G276" s="9">
        <f t="shared" si="11"/>
        <v>0.30114638447971798</v>
      </c>
      <c r="H276" s="8">
        <f t="shared" si="8"/>
        <v>7.4889867841409608E-2</v>
      </c>
      <c r="I276" s="4">
        <f t="shared" si="9"/>
        <v>2.8718673530155767E-2</v>
      </c>
      <c r="J276" s="4">
        <f t="shared" si="10"/>
        <v>9.9800000000000028E-3</v>
      </c>
    </row>
    <row r="277" spans="1:10" x14ac:dyDescent="0.3">
      <c r="A277" s="1">
        <v>34942</v>
      </c>
      <c r="B277" s="3">
        <v>16.8</v>
      </c>
      <c r="C277" s="3">
        <v>6.2859999999999996</v>
      </c>
      <c r="D277" s="3">
        <v>152.9</v>
      </c>
      <c r="E277" s="3">
        <v>29.83</v>
      </c>
      <c r="F277" s="3">
        <v>5.29</v>
      </c>
      <c r="G277" s="9">
        <f t="shared" si="11"/>
        <v>0.26990208599403998</v>
      </c>
      <c r="H277" s="8">
        <f t="shared" si="8"/>
        <v>6.7717063359034713E-2</v>
      </c>
      <c r="I277" s="4">
        <f t="shared" si="9"/>
        <v>2.7387417384849039E-2</v>
      </c>
      <c r="J277" s="4">
        <f t="shared" si="10"/>
        <v>9.9599999999999949E-3</v>
      </c>
    </row>
    <row r="278" spans="1:10" x14ac:dyDescent="0.3">
      <c r="A278" s="1">
        <v>34971</v>
      </c>
      <c r="B278" s="3">
        <v>17.600000000000001</v>
      </c>
      <c r="C278" s="3">
        <v>6.165</v>
      </c>
      <c r="D278" s="3">
        <v>153.1</v>
      </c>
      <c r="E278" s="3">
        <v>29.86</v>
      </c>
      <c r="F278" s="3">
        <v>5.24</v>
      </c>
      <c r="G278" s="9">
        <f t="shared" si="11"/>
        <v>0.27280477408354642</v>
      </c>
      <c r="H278" s="8">
        <f t="shared" si="8"/>
        <v>6.5974547890154112E-2</v>
      </c>
      <c r="I278" s="4">
        <f t="shared" si="9"/>
        <v>2.623381417331274E-2</v>
      </c>
      <c r="J278" s="4">
        <f t="shared" si="10"/>
        <v>9.2499999999999978E-3</v>
      </c>
    </row>
    <row r="279" spans="1:10" x14ac:dyDescent="0.3">
      <c r="A279" s="1">
        <v>35003</v>
      </c>
      <c r="B279" s="3">
        <v>17.2</v>
      </c>
      <c r="C279" s="3">
        <v>6.0220000000000002</v>
      </c>
      <c r="D279" s="3">
        <v>153.5</v>
      </c>
      <c r="E279" s="3">
        <v>30.46</v>
      </c>
      <c r="F279" s="3">
        <v>5.32</v>
      </c>
      <c r="G279" s="9">
        <f t="shared" si="11"/>
        <v>0.22872125857200487</v>
      </c>
      <c r="H279" s="8">
        <f t="shared" si="8"/>
        <v>6.5003282994090528E-2</v>
      </c>
      <c r="I279" s="4">
        <f t="shared" si="9"/>
        <v>2.4916066251382825E-2</v>
      </c>
      <c r="J279" s="4">
        <f t="shared" si="10"/>
        <v>7.0199999999999993E-3</v>
      </c>
    </row>
    <row r="280" spans="1:10" x14ac:dyDescent="0.3">
      <c r="A280" s="1">
        <v>35033</v>
      </c>
      <c r="B280" s="3">
        <v>18</v>
      </c>
      <c r="C280" s="3">
        <v>5.7409999999999997</v>
      </c>
      <c r="D280" s="3">
        <v>153.69999999999999</v>
      </c>
      <c r="E280" s="3">
        <v>30.36</v>
      </c>
      <c r="F280" s="3">
        <v>5.32</v>
      </c>
      <c r="G280" s="9">
        <f t="shared" si="11"/>
        <v>0.21488595438175273</v>
      </c>
      <c r="H280" s="8">
        <f t="shared" si="8"/>
        <v>7.1146245059288571E-2</v>
      </c>
      <c r="I280" s="4">
        <f t="shared" si="9"/>
        <v>2.2447207462988485E-2</v>
      </c>
      <c r="J280" s="4">
        <f t="shared" si="10"/>
        <v>4.2099999999999941E-3</v>
      </c>
    </row>
    <row r="281" spans="1:10" x14ac:dyDescent="0.3">
      <c r="A281" s="1">
        <v>35062</v>
      </c>
      <c r="B281" s="3">
        <v>18.2</v>
      </c>
      <c r="C281" s="3">
        <v>5.5739999999999998</v>
      </c>
      <c r="D281" s="3">
        <v>153.9</v>
      </c>
      <c r="E281" s="3">
        <v>30.38</v>
      </c>
      <c r="F281" s="3">
        <v>4.96</v>
      </c>
      <c r="G281" s="9">
        <f t="shared" si="11"/>
        <v>0.21568627450980404</v>
      </c>
      <c r="H281" s="8">
        <f t="shared" si="8"/>
        <v>6.9782751810401722E-2</v>
      </c>
      <c r="I281" s="4">
        <f t="shared" si="9"/>
        <v>2.1116234373720219E-2</v>
      </c>
      <c r="J281" s="4">
        <f t="shared" si="10"/>
        <v>6.1399999999999988E-3</v>
      </c>
    </row>
    <row r="282" spans="1:10" x14ac:dyDescent="0.3">
      <c r="A282" s="1">
        <v>35095</v>
      </c>
      <c r="B282" s="3">
        <v>19</v>
      </c>
      <c r="C282" s="3">
        <v>5.5759999999999996</v>
      </c>
      <c r="D282" s="3">
        <v>154.69999999999999</v>
      </c>
      <c r="E282" s="3">
        <v>30.06</v>
      </c>
      <c r="F282" s="3">
        <v>4.91</v>
      </c>
      <c r="G282" s="9">
        <f t="shared" si="11"/>
        <v>0.13949962092494306</v>
      </c>
      <c r="H282" s="8">
        <f t="shared" si="8"/>
        <v>0.13506320691949436</v>
      </c>
      <c r="I282" s="4">
        <f t="shared" si="9"/>
        <v>2.097705513584832E-2</v>
      </c>
      <c r="J282" s="4">
        <f t="shared" si="10"/>
        <v>6.6599999999999949E-3</v>
      </c>
    </row>
    <row r="283" spans="1:10" x14ac:dyDescent="0.3">
      <c r="A283" s="1">
        <v>35124</v>
      </c>
      <c r="B283" s="3">
        <v>18.899999999999999</v>
      </c>
      <c r="C283" s="3">
        <v>6.1029999999999998</v>
      </c>
      <c r="D283" s="3">
        <v>155</v>
      </c>
      <c r="E283" s="3">
        <v>30.51</v>
      </c>
      <c r="F283" s="3">
        <v>4.8899999999999997</v>
      </c>
      <c r="G283" s="9">
        <f t="shared" si="11"/>
        <v>0.14441110277569402</v>
      </c>
      <c r="H283" s="8">
        <f t="shared" si="8"/>
        <v>0.12553261225827606</v>
      </c>
      <c r="I283" s="4">
        <f t="shared" si="9"/>
        <v>2.5858022278396703E-2</v>
      </c>
      <c r="J283" s="4">
        <f t="shared" si="10"/>
        <v>1.213E-2</v>
      </c>
    </row>
    <row r="284" spans="1:10" x14ac:dyDescent="0.3">
      <c r="A284" s="1">
        <v>35153</v>
      </c>
      <c r="B284" s="3">
        <v>19</v>
      </c>
      <c r="C284" s="3">
        <v>6.3230000000000004</v>
      </c>
      <c r="D284" s="3">
        <v>155.5</v>
      </c>
      <c r="E284" s="3">
        <v>30.56</v>
      </c>
      <c r="F284" s="3">
        <v>5</v>
      </c>
      <c r="G284" s="9">
        <f t="shared" si="11"/>
        <v>0.14542728635682156</v>
      </c>
      <c r="H284" s="8">
        <f t="shared" si="8"/>
        <v>0.12532722513089012</v>
      </c>
      <c r="I284" s="4">
        <f t="shared" si="9"/>
        <v>2.7156503510907259E-2</v>
      </c>
      <c r="J284" s="4">
        <f t="shared" si="10"/>
        <v>1.3230000000000004E-2</v>
      </c>
    </row>
    <row r="285" spans="1:10" x14ac:dyDescent="0.3">
      <c r="A285" s="1">
        <v>35185</v>
      </c>
      <c r="B285" s="3">
        <v>18.899999999999999</v>
      </c>
      <c r="C285" s="3">
        <v>6.6449999999999996</v>
      </c>
      <c r="D285" s="3">
        <v>156.1</v>
      </c>
      <c r="E285" s="3">
        <v>31.08</v>
      </c>
      <c r="F285" s="3">
        <v>5.01</v>
      </c>
      <c r="G285" s="9">
        <f t="shared" si="11"/>
        <v>0.10881198715661777</v>
      </c>
      <c r="H285" s="8">
        <f t="shared" si="8"/>
        <v>0.14768339768339778</v>
      </c>
      <c r="I285" s="4">
        <f t="shared" si="9"/>
        <v>2.9596648296384184E-2</v>
      </c>
      <c r="J285" s="4">
        <f t="shared" si="10"/>
        <v>1.6349999999999996E-2</v>
      </c>
    </row>
    <row r="286" spans="1:10" x14ac:dyDescent="0.3">
      <c r="A286" s="1">
        <v>35216</v>
      </c>
      <c r="B286" s="3">
        <v>19.399999999999999</v>
      </c>
      <c r="C286" s="3">
        <v>6.8479999999999999</v>
      </c>
      <c r="D286" s="3">
        <v>156.4</v>
      </c>
      <c r="E286" s="3">
        <v>31.15</v>
      </c>
      <c r="F286" s="3">
        <v>5.04</v>
      </c>
      <c r="G286" s="9">
        <f t="shared" si="11"/>
        <v>9.8765432098765427E-2</v>
      </c>
      <c r="H286" s="8">
        <f t="shared" si="8"/>
        <v>0.15601926163723912</v>
      </c>
      <c r="I286" s="4">
        <f t="shared" si="9"/>
        <v>3.1713334686392827E-2</v>
      </c>
      <c r="J286" s="4">
        <f t="shared" si="10"/>
        <v>1.8079999999999999E-2</v>
      </c>
    </row>
    <row r="287" spans="1:10" x14ac:dyDescent="0.3">
      <c r="A287" s="1">
        <v>35244</v>
      </c>
      <c r="B287" s="3">
        <v>19.5</v>
      </c>
      <c r="C287" s="3">
        <v>6.7140000000000004</v>
      </c>
      <c r="D287" s="3">
        <v>156.69999999999999</v>
      </c>
      <c r="E287" s="3">
        <v>31.17</v>
      </c>
      <c r="F287" s="3">
        <v>5.04</v>
      </c>
      <c r="G287" s="9">
        <f t="shared" si="11"/>
        <v>9.869580542826939E-2</v>
      </c>
      <c r="H287" s="8">
        <f t="shared" si="8"/>
        <v>0.15367340391401996</v>
      </c>
      <c r="I287" s="4">
        <f t="shared" si="9"/>
        <v>3.0554409506507146E-2</v>
      </c>
      <c r="J287" s="4">
        <f t="shared" si="10"/>
        <v>1.6740000000000005E-2</v>
      </c>
    </row>
    <row r="288" spans="1:10" x14ac:dyDescent="0.3">
      <c r="A288" s="1">
        <v>35277</v>
      </c>
      <c r="B288" s="3">
        <v>18.399999999999999</v>
      </c>
      <c r="C288" s="3">
        <v>6.798</v>
      </c>
      <c r="D288" s="3">
        <v>157</v>
      </c>
      <c r="E288" s="3">
        <v>31.72</v>
      </c>
      <c r="F288" s="3">
        <v>5.18</v>
      </c>
      <c r="G288" s="9">
        <f t="shared" si="11"/>
        <v>7.4889867841409608E-2</v>
      </c>
      <c r="H288" s="8">
        <f t="shared" si="8"/>
        <v>0.14943253467843642</v>
      </c>
      <c r="I288" s="4">
        <f t="shared" si="9"/>
        <v>3.1290849773554077E-2</v>
      </c>
      <c r="J288" s="4">
        <f t="shared" si="10"/>
        <v>1.6180000000000003E-2</v>
      </c>
    </row>
    <row r="289" spans="1:10" x14ac:dyDescent="0.3">
      <c r="A289" s="1">
        <v>35307</v>
      </c>
      <c r="B289" s="3">
        <v>18.600000000000001</v>
      </c>
      <c r="C289" s="3">
        <v>6.94</v>
      </c>
      <c r="D289" s="3">
        <v>157.19999999999999</v>
      </c>
      <c r="E289" s="3">
        <v>31.85</v>
      </c>
      <c r="F289" s="3">
        <v>5.15</v>
      </c>
      <c r="G289" s="9">
        <f t="shared" si="11"/>
        <v>6.7717063359034713E-2</v>
      </c>
      <c r="H289" s="8">
        <f t="shared" si="8"/>
        <v>0.14285714285714279</v>
      </c>
      <c r="I289" s="4">
        <f t="shared" si="9"/>
        <v>3.2673502437499877E-2</v>
      </c>
      <c r="J289" s="4">
        <f t="shared" si="10"/>
        <v>1.7899999999999999E-2</v>
      </c>
    </row>
    <row r="290" spans="1:10" x14ac:dyDescent="0.3">
      <c r="A290" s="1">
        <v>35338</v>
      </c>
      <c r="B290" s="3">
        <v>19.7</v>
      </c>
      <c r="C290" s="3">
        <v>6.7009999999999996</v>
      </c>
      <c r="D290" s="3">
        <v>157.69999999999999</v>
      </c>
      <c r="E290" s="3">
        <v>31.83</v>
      </c>
      <c r="F290" s="3">
        <v>4.91</v>
      </c>
      <c r="G290" s="9">
        <f t="shared" si="11"/>
        <v>6.5974547890154112E-2</v>
      </c>
      <c r="H290" s="8">
        <f t="shared" si="8"/>
        <v>0.14514608859566458</v>
      </c>
      <c r="I290" s="4">
        <f t="shared" si="9"/>
        <v>3.0331955548801956E-2</v>
      </c>
      <c r="J290" s="4">
        <f t="shared" si="10"/>
        <v>1.7909999999999995E-2</v>
      </c>
    </row>
    <row r="291" spans="1:10" x14ac:dyDescent="0.3">
      <c r="A291" s="1">
        <v>35369</v>
      </c>
      <c r="B291" s="3">
        <v>19.7</v>
      </c>
      <c r="C291" s="3">
        <v>6.3410000000000002</v>
      </c>
      <c r="D291" s="3">
        <v>158.19999999999999</v>
      </c>
      <c r="E291" s="3">
        <v>32.44</v>
      </c>
      <c r="F291" s="3">
        <v>5.03</v>
      </c>
      <c r="G291" s="9">
        <f t="shared" si="11"/>
        <v>6.5003282994090528E-2</v>
      </c>
      <c r="H291" s="8">
        <f t="shared" si="8"/>
        <v>0.14549938347718872</v>
      </c>
      <c r="I291" s="4">
        <f t="shared" si="9"/>
        <v>2.6592095091559506E-2</v>
      </c>
      <c r="J291" s="4">
        <f t="shared" si="10"/>
        <v>1.311E-2</v>
      </c>
    </row>
    <row r="292" spans="1:10" x14ac:dyDescent="0.3">
      <c r="A292" s="1">
        <v>35398</v>
      </c>
      <c r="B292" s="3">
        <v>21.1</v>
      </c>
      <c r="C292" s="3">
        <v>6.0439999999999996</v>
      </c>
      <c r="D292" s="3">
        <v>158.69999999999999</v>
      </c>
      <c r="E292" s="3">
        <v>32.520000000000003</v>
      </c>
      <c r="F292" s="3">
        <v>5</v>
      </c>
      <c r="G292" s="9">
        <f t="shared" si="11"/>
        <v>7.1146245059288571E-2</v>
      </c>
      <c r="H292" s="8">
        <f t="shared" si="8"/>
        <v>0.14760147601476015</v>
      </c>
      <c r="I292" s="4">
        <f t="shared" si="9"/>
        <v>2.3482910046143946E-2</v>
      </c>
      <c r="J292" s="4">
        <f t="shared" si="10"/>
        <v>1.0439999999999996E-2</v>
      </c>
    </row>
    <row r="293" spans="1:10" x14ac:dyDescent="0.3">
      <c r="A293" s="1">
        <v>35430</v>
      </c>
      <c r="B293" s="3">
        <v>20.8</v>
      </c>
      <c r="C293" s="3">
        <v>6.4180000000000001</v>
      </c>
      <c r="D293" s="3">
        <v>159.1</v>
      </c>
      <c r="E293" s="3">
        <v>32.5</v>
      </c>
      <c r="F293" s="3">
        <v>5.07</v>
      </c>
      <c r="G293" s="9">
        <f t="shared" si="11"/>
        <v>6.9782751810401722E-2</v>
      </c>
      <c r="H293" s="8">
        <f t="shared" si="8"/>
        <v>0.14738461538461545</v>
      </c>
      <c r="I293" s="4">
        <f t="shared" si="9"/>
        <v>2.7336899859869854E-2</v>
      </c>
      <c r="J293" s="4">
        <f t="shared" si="10"/>
        <v>1.3479999999999999E-2</v>
      </c>
    </row>
    <row r="294" spans="1:10" x14ac:dyDescent="0.3">
      <c r="A294" s="1">
        <v>35461</v>
      </c>
      <c r="B294" s="3">
        <v>21</v>
      </c>
      <c r="C294" s="3">
        <v>6.4939999999999998</v>
      </c>
      <c r="D294" s="3">
        <v>159.4</v>
      </c>
      <c r="E294" s="3">
        <v>34.119999999999997</v>
      </c>
      <c r="F294" s="3">
        <v>5.0199999999999996</v>
      </c>
      <c r="G294" s="9">
        <f t="shared" si="11"/>
        <v>0.13506320691949436</v>
      </c>
      <c r="H294" s="8">
        <f t="shared" si="8"/>
        <v>9.6131301289566373E-2</v>
      </c>
      <c r="I294" s="4">
        <f t="shared" si="9"/>
        <v>2.8461464663917635E-2</v>
      </c>
      <c r="J294" s="4">
        <f t="shared" si="10"/>
        <v>1.4740000000000001E-2</v>
      </c>
    </row>
    <row r="295" spans="1:10" x14ac:dyDescent="0.3">
      <c r="A295" s="1">
        <v>35489</v>
      </c>
      <c r="B295" s="3">
        <v>21.1</v>
      </c>
      <c r="C295" s="3">
        <v>6.548</v>
      </c>
      <c r="D295" s="3">
        <v>159.69999999999999</v>
      </c>
      <c r="E295" s="3">
        <v>34.340000000000003</v>
      </c>
      <c r="F295" s="3">
        <v>5.09</v>
      </c>
      <c r="G295" s="9">
        <f t="shared" si="11"/>
        <v>0.12553261225827606</v>
      </c>
      <c r="H295" s="8">
        <f t="shared" si="8"/>
        <v>8.9691322073383706E-2</v>
      </c>
      <c r="I295" s="4">
        <f t="shared" si="9"/>
        <v>2.9178059793838487E-2</v>
      </c>
      <c r="J295" s="4">
        <f t="shared" si="10"/>
        <v>1.4580000000000003E-2</v>
      </c>
    </row>
    <row r="296" spans="1:10" x14ac:dyDescent="0.3">
      <c r="A296" s="1">
        <v>35520</v>
      </c>
      <c r="B296" s="3">
        <v>20.100000000000001</v>
      </c>
      <c r="C296" s="3">
        <v>6.9050000000000002</v>
      </c>
      <c r="D296" s="3">
        <v>159.80000000000001</v>
      </c>
      <c r="E296" s="3">
        <v>34.39</v>
      </c>
      <c r="F296" s="3">
        <v>5.21</v>
      </c>
      <c r="G296" s="9">
        <f t="shared" si="11"/>
        <v>0.12532722513089012</v>
      </c>
      <c r="H296" s="8">
        <f t="shared" si="8"/>
        <v>8.2872928176795702E-2</v>
      </c>
      <c r="I296" s="4">
        <f t="shared" si="9"/>
        <v>3.3053252841092451E-2</v>
      </c>
      <c r="J296" s="4">
        <f t="shared" si="10"/>
        <v>1.6950000000000003E-2</v>
      </c>
    </row>
    <row r="297" spans="1:10" x14ac:dyDescent="0.3">
      <c r="A297" s="1">
        <v>35550</v>
      </c>
      <c r="B297" s="3">
        <v>20.5</v>
      </c>
      <c r="C297" s="3">
        <v>6.7110000000000003</v>
      </c>
      <c r="D297" s="3">
        <v>159.9</v>
      </c>
      <c r="E297" s="3">
        <v>35.67</v>
      </c>
      <c r="F297" s="3">
        <v>5.14</v>
      </c>
      <c r="G297" s="9">
        <f t="shared" si="11"/>
        <v>0.14768339768339778</v>
      </c>
      <c r="H297" s="8">
        <f t="shared" si="8"/>
        <v>5.1303616484440706E-2</v>
      </c>
      <c r="I297" s="4">
        <f t="shared" si="9"/>
        <v>3.1509015160323006E-2</v>
      </c>
      <c r="J297" s="4">
        <f t="shared" si="10"/>
        <v>1.5710000000000005E-2</v>
      </c>
    </row>
    <row r="298" spans="1:10" x14ac:dyDescent="0.3">
      <c r="A298" s="1">
        <v>35580</v>
      </c>
      <c r="B298" s="3">
        <v>21.6</v>
      </c>
      <c r="C298" s="3">
        <v>6.6520000000000001</v>
      </c>
      <c r="D298" s="3">
        <v>159.9</v>
      </c>
      <c r="E298" s="3">
        <v>36.01</v>
      </c>
      <c r="F298" s="3">
        <v>4.82</v>
      </c>
      <c r="G298" s="9">
        <f t="shared" si="11"/>
        <v>0.15601926163723912</v>
      </c>
      <c r="H298" s="8">
        <f t="shared" si="8"/>
        <v>4.5265204109969481E-2</v>
      </c>
      <c r="I298" s="4">
        <f t="shared" si="9"/>
        <v>3.1194282494363484E-2</v>
      </c>
      <c r="J298" s="4">
        <f t="shared" si="10"/>
        <v>1.8319999999999999E-2</v>
      </c>
    </row>
    <row r="299" spans="1:10" x14ac:dyDescent="0.3">
      <c r="A299" s="1">
        <v>35611</v>
      </c>
      <c r="B299" s="3">
        <v>22.5</v>
      </c>
      <c r="C299" s="3">
        <v>6.4980000000000002</v>
      </c>
      <c r="D299" s="3">
        <v>160.19999999999999</v>
      </c>
      <c r="E299" s="3">
        <v>35.96</v>
      </c>
      <c r="F299" s="3">
        <v>5.0599999999999996</v>
      </c>
      <c r="G299" s="9">
        <f t="shared" si="11"/>
        <v>0.15367340391401996</v>
      </c>
      <c r="H299" s="8">
        <f t="shared" si="8"/>
        <v>5.0333704115684164E-2</v>
      </c>
      <c r="I299" s="4">
        <f t="shared" si="9"/>
        <v>2.9917284289115068E-2</v>
      </c>
      <c r="J299" s="4">
        <f t="shared" si="10"/>
        <v>1.4380000000000006E-2</v>
      </c>
    </row>
    <row r="300" spans="1:10" x14ac:dyDescent="0.3">
      <c r="A300" s="1">
        <v>35642</v>
      </c>
      <c r="B300" s="3">
        <v>23.9</v>
      </c>
      <c r="C300" s="3">
        <v>6.0110000000000001</v>
      </c>
      <c r="D300" s="3">
        <v>160.4</v>
      </c>
      <c r="E300" s="3">
        <v>36.46</v>
      </c>
      <c r="F300" s="3">
        <v>5.1100000000000003</v>
      </c>
      <c r="G300" s="9">
        <f t="shared" si="11"/>
        <v>0.14943253467843642</v>
      </c>
      <c r="H300" s="8">
        <f t="shared" si="8"/>
        <v>5.512890839275908E-2</v>
      </c>
      <c r="I300" s="4">
        <f t="shared" si="9"/>
        <v>2.5191357472559413E-2</v>
      </c>
      <c r="J300" s="4">
        <f t="shared" si="10"/>
        <v>9.0099999999999972E-3</v>
      </c>
    </row>
    <row r="301" spans="1:10" x14ac:dyDescent="0.3">
      <c r="A301" s="1">
        <v>35671</v>
      </c>
      <c r="B301" s="3">
        <v>22.6</v>
      </c>
      <c r="C301" s="3">
        <v>6.335</v>
      </c>
      <c r="D301" s="3">
        <v>160.80000000000001</v>
      </c>
      <c r="E301" s="3">
        <v>36.4</v>
      </c>
      <c r="F301" s="3">
        <v>5.0999999999999996</v>
      </c>
      <c r="G301" s="9">
        <f t="shared" si="11"/>
        <v>0.14285714285714279</v>
      </c>
      <c r="H301" s="8">
        <f t="shared" si="8"/>
        <v>6.3736263736263732E-2</v>
      </c>
      <c r="I301" s="4">
        <f t="shared" si="9"/>
        <v>2.8627289156011079E-2</v>
      </c>
      <c r="J301" s="4">
        <f t="shared" si="10"/>
        <v>1.2350000000000003E-2</v>
      </c>
    </row>
    <row r="302" spans="1:10" x14ac:dyDescent="0.3">
      <c r="A302" s="1">
        <v>35703</v>
      </c>
      <c r="B302" s="3">
        <v>23.7</v>
      </c>
      <c r="C302" s="3">
        <v>6.1029999999999998</v>
      </c>
      <c r="D302" s="3">
        <v>161.19999999999999</v>
      </c>
      <c r="E302" s="3">
        <v>36.450000000000003</v>
      </c>
      <c r="F302" s="3">
        <v>4.93</v>
      </c>
      <c r="G302" s="9">
        <f t="shared" si="11"/>
        <v>0.14514608859566458</v>
      </c>
      <c r="H302" s="8">
        <f t="shared" si="8"/>
        <v>5.8710562414266088E-2</v>
      </c>
      <c r="I302" s="4">
        <f t="shared" si="9"/>
        <v>2.6411685342031838E-2</v>
      </c>
      <c r="J302" s="4">
        <f t="shared" si="10"/>
        <v>1.1730000000000001E-2</v>
      </c>
    </row>
    <row r="303" spans="1:10" x14ac:dyDescent="0.3">
      <c r="A303" s="1">
        <v>35734</v>
      </c>
      <c r="B303" s="3">
        <v>22.5</v>
      </c>
      <c r="C303" s="3">
        <v>5.8310000000000004</v>
      </c>
      <c r="D303" s="3">
        <v>161.5</v>
      </c>
      <c r="E303" s="3">
        <v>37.159999999999997</v>
      </c>
      <c r="F303" s="3">
        <v>5.07</v>
      </c>
      <c r="G303" s="9">
        <f t="shared" si="11"/>
        <v>0.14549938347718872</v>
      </c>
      <c r="H303" s="8">
        <f t="shared" si="8"/>
        <v>7.8040904198062533E-2</v>
      </c>
      <c r="I303" s="4">
        <f t="shared" si="9"/>
        <v>2.3769567612091841E-2</v>
      </c>
      <c r="J303" s="4">
        <f t="shared" si="10"/>
        <v>7.6100000000000013E-3</v>
      </c>
    </row>
    <row r="304" spans="1:10" x14ac:dyDescent="0.3">
      <c r="A304" s="1">
        <v>35762</v>
      </c>
      <c r="B304" s="3">
        <v>23.5</v>
      </c>
      <c r="C304" s="3">
        <v>5.8630000000000004</v>
      </c>
      <c r="D304" s="3">
        <v>161.69999999999999</v>
      </c>
      <c r="E304" s="3">
        <v>37.32</v>
      </c>
      <c r="F304" s="3">
        <v>5.08</v>
      </c>
      <c r="G304" s="9">
        <f t="shared" si="11"/>
        <v>0.14760147601476015</v>
      </c>
      <c r="H304" s="8">
        <f t="shared" si="8"/>
        <v>7.9581993569131759E-2</v>
      </c>
      <c r="I304" s="4">
        <f t="shared" si="9"/>
        <v>2.4320720374656532E-2</v>
      </c>
      <c r="J304" s="4">
        <f t="shared" si="10"/>
        <v>7.8300000000000036E-3</v>
      </c>
    </row>
    <row r="305" spans="1:10" x14ac:dyDescent="0.3">
      <c r="A305" s="1">
        <v>35795</v>
      </c>
      <c r="B305" s="3">
        <v>24.1</v>
      </c>
      <c r="C305" s="3">
        <v>5.73</v>
      </c>
      <c r="D305" s="3">
        <v>161.80000000000001</v>
      </c>
      <c r="E305" s="3">
        <v>37.29</v>
      </c>
      <c r="F305" s="3">
        <v>5.22</v>
      </c>
      <c r="G305" s="9">
        <f t="shared" si="11"/>
        <v>0.14738461538461545</v>
      </c>
      <c r="H305" s="8">
        <f t="shared" si="8"/>
        <v>8.1523196567444334E-2</v>
      </c>
      <c r="I305" s="4">
        <f t="shared" si="9"/>
        <v>2.3105870248747315E-2</v>
      </c>
      <c r="J305" s="4">
        <f t="shared" si="10"/>
        <v>5.1000000000000064E-3</v>
      </c>
    </row>
    <row r="306" spans="1:10" x14ac:dyDescent="0.3">
      <c r="A306" s="1">
        <v>35825</v>
      </c>
      <c r="B306" s="3">
        <v>24.1</v>
      </c>
      <c r="C306" s="3">
        <v>5.5140000000000002</v>
      </c>
      <c r="D306" s="3">
        <v>162</v>
      </c>
      <c r="E306" s="3">
        <v>37.4</v>
      </c>
      <c r="F306" s="3">
        <v>5.0599999999999996</v>
      </c>
      <c r="G306" s="9">
        <f t="shared" si="11"/>
        <v>9.6131301289566373E-2</v>
      </c>
      <c r="H306" s="8">
        <f t="shared" si="8"/>
        <v>7.192513368983966E-2</v>
      </c>
      <c r="I306" s="4">
        <f t="shared" si="9"/>
        <v>2.117532256719671E-2</v>
      </c>
      <c r="J306" s="4">
        <f t="shared" si="10"/>
        <v>4.5400000000000058E-3</v>
      </c>
    </row>
    <row r="307" spans="1:10" x14ac:dyDescent="0.3">
      <c r="A307" s="1">
        <v>35853</v>
      </c>
      <c r="B307" s="3">
        <v>25.8</v>
      </c>
      <c r="C307" s="3">
        <v>5.6239999999999997</v>
      </c>
      <c r="D307" s="3">
        <v>162</v>
      </c>
      <c r="E307" s="3">
        <v>37.42</v>
      </c>
      <c r="F307" s="3">
        <v>5.18</v>
      </c>
      <c r="G307" s="9">
        <f t="shared" si="11"/>
        <v>8.9691322073383706E-2</v>
      </c>
      <c r="H307" s="8">
        <f t="shared" si="8"/>
        <v>6.9748797434526999E-2</v>
      </c>
      <c r="I307" s="4">
        <f t="shared" si="9"/>
        <v>2.2453423493998523E-2</v>
      </c>
      <c r="J307" s="4">
        <f t="shared" si="10"/>
        <v>4.4399999999999995E-3</v>
      </c>
    </row>
    <row r="308" spans="1:10" x14ac:dyDescent="0.3">
      <c r="A308" s="1">
        <v>35885</v>
      </c>
      <c r="B308" s="3">
        <v>27.2</v>
      </c>
      <c r="C308" s="3">
        <v>5.6559999999999997</v>
      </c>
      <c r="D308" s="3">
        <v>162</v>
      </c>
      <c r="E308" s="3">
        <v>37.24</v>
      </c>
      <c r="F308" s="3">
        <v>5.0199999999999996</v>
      </c>
      <c r="G308" s="9">
        <f t="shared" si="11"/>
        <v>8.2872928176795702E-2</v>
      </c>
      <c r="H308" s="8">
        <f t="shared" si="8"/>
        <v>7.1965628356605693E-2</v>
      </c>
      <c r="I308" s="4">
        <f t="shared" si="9"/>
        <v>2.3039943618635983E-2</v>
      </c>
      <c r="J308" s="4">
        <f t="shared" si="10"/>
        <v>6.3600000000000011E-3</v>
      </c>
    </row>
    <row r="309" spans="1:10" x14ac:dyDescent="0.3">
      <c r="A309" s="1">
        <v>35915</v>
      </c>
      <c r="B309" s="3">
        <v>27.1</v>
      </c>
      <c r="C309" s="3">
        <v>5.6859999999999999</v>
      </c>
      <c r="D309" s="3">
        <v>162.19999999999999</v>
      </c>
      <c r="E309" s="3">
        <v>37.5</v>
      </c>
      <c r="F309" s="3">
        <v>4.87</v>
      </c>
      <c r="G309" s="9">
        <f t="shared" si="11"/>
        <v>5.1303616484440706E-2</v>
      </c>
      <c r="H309" s="8">
        <f t="shared" si="8"/>
        <v>5.5199999999999916E-2</v>
      </c>
      <c r="I309" s="4">
        <f t="shared" si="9"/>
        <v>2.3831451290733476E-2</v>
      </c>
      <c r="J309" s="4">
        <f t="shared" si="10"/>
        <v>8.1599999999999989E-3</v>
      </c>
    </row>
    <row r="310" spans="1:10" x14ac:dyDescent="0.3">
      <c r="A310" s="1">
        <v>35944</v>
      </c>
      <c r="B310" s="3">
        <v>26.5</v>
      </c>
      <c r="C310" s="3">
        <v>5.5540000000000003</v>
      </c>
      <c r="D310" s="3">
        <v>162.6</v>
      </c>
      <c r="E310" s="3">
        <v>37.64</v>
      </c>
      <c r="F310" s="3">
        <v>4.8899999999999997</v>
      </c>
      <c r="G310" s="9">
        <f t="shared" si="11"/>
        <v>4.5265204109969481E-2</v>
      </c>
      <c r="H310" s="8">
        <f t="shared" si="8"/>
        <v>4.5164718384697267E-2</v>
      </c>
      <c r="I310" s="4">
        <f t="shared" si="9"/>
        <v>2.2521099836541797E-2</v>
      </c>
      <c r="J310" s="4">
        <f t="shared" si="10"/>
        <v>6.6400000000000061E-3</v>
      </c>
    </row>
    <row r="311" spans="1:10" x14ac:dyDescent="0.3">
      <c r="A311" s="1">
        <v>35976</v>
      </c>
      <c r="B311" s="3">
        <v>27.5</v>
      </c>
      <c r="C311" s="3">
        <v>5.444</v>
      </c>
      <c r="D311" s="3">
        <v>162.80000000000001</v>
      </c>
      <c r="E311" s="3">
        <v>37.770000000000003</v>
      </c>
      <c r="F311" s="3">
        <v>4.97</v>
      </c>
      <c r="G311" s="9">
        <f t="shared" si="11"/>
        <v>5.0333704115684164E-2</v>
      </c>
      <c r="H311" s="8">
        <f t="shared" si="8"/>
        <v>5.0569234842467559E-2</v>
      </c>
      <c r="I311" s="4">
        <f t="shared" si="9"/>
        <v>2.1732718184538549E-2</v>
      </c>
      <c r="J311" s="4">
        <f t="shared" si="10"/>
        <v>4.740000000000002E-3</v>
      </c>
    </row>
    <row r="312" spans="1:10" x14ac:dyDescent="0.3">
      <c r="A312" s="1">
        <v>36007</v>
      </c>
      <c r="B312" s="3">
        <v>26.5</v>
      </c>
      <c r="C312" s="3">
        <v>5.4939999999999998</v>
      </c>
      <c r="D312" s="3">
        <v>163.19999999999999</v>
      </c>
      <c r="E312" s="3">
        <v>38.47</v>
      </c>
      <c r="F312" s="3">
        <v>4.97</v>
      </c>
      <c r="G312" s="9">
        <f t="shared" si="11"/>
        <v>5.512890839275908E-2</v>
      </c>
      <c r="H312" s="8">
        <f t="shared" si="8"/>
        <v>6.5505588770470524E-2</v>
      </c>
      <c r="I312" s="4">
        <f t="shared" si="9"/>
        <v>2.2415940051114143E-2</v>
      </c>
      <c r="J312" s="4">
        <f t="shared" si="10"/>
        <v>5.2399999999999999E-3</v>
      </c>
    </row>
    <row r="313" spans="1:10" x14ac:dyDescent="0.3">
      <c r="A313" s="1">
        <v>36038</v>
      </c>
      <c r="B313" s="3">
        <v>22.5</v>
      </c>
      <c r="C313" s="3">
        <v>4.9740000000000002</v>
      </c>
      <c r="D313" s="3">
        <v>163.4</v>
      </c>
      <c r="E313" s="3">
        <v>38.72</v>
      </c>
      <c r="F313" s="3">
        <v>4.7699999999999996</v>
      </c>
      <c r="G313" s="9">
        <f t="shared" si="11"/>
        <v>6.3736263736263732E-2</v>
      </c>
      <c r="H313" s="8">
        <f t="shared" si="8"/>
        <v>5.5526859504132275E-2</v>
      </c>
      <c r="I313" s="4">
        <f t="shared" si="9"/>
        <v>1.7524184305080952E-2</v>
      </c>
      <c r="J313" s="4">
        <f t="shared" si="10"/>
        <v>2.0400000000000062E-3</v>
      </c>
    </row>
    <row r="314" spans="1:10" x14ac:dyDescent="0.3">
      <c r="A314" s="1">
        <v>36068</v>
      </c>
      <c r="B314" s="3">
        <v>23.9</v>
      </c>
      <c r="C314" s="3">
        <v>4.41</v>
      </c>
      <c r="D314" s="3">
        <v>163.5</v>
      </c>
      <c r="E314" s="3">
        <v>38.590000000000003</v>
      </c>
      <c r="F314" s="3">
        <v>4.26</v>
      </c>
      <c r="G314" s="9">
        <f t="shared" si="11"/>
        <v>5.8710562414266088E-2</v>
      </c>
      <c r="H314" s="8">
        <f t="shared" si="8"/>
        <v>6.1933143301373228E-2</v>
      </c>
      <c r="I314" s="4">
        <f t="shared" si="9"/>
        <v>1.2253761872065255E-2</v>
      </c>
      <c r="J314" s="4">
        <f t="shared" si="10"/>
        <v>1.5000000000000035E-3</v>
      </c>
    </row>
    <row r="315" spans="1:10" x14ac:dyDescent="0.3">
      <c r="A315" s="1">
        <v>36098</v>
      </c>
      <c r="B315" s="3">
        <v>25.1</v>
      </c>
      <c r="C315" s="3">
        <v>4.6050000000000004</v>
      </c>
      <c r="D315" s="3">
        <v>163.9</v>
      </c>
      <c r="E315" s="3">
        <v>40.06</v>
      </c>
      <c r="F315" s="3">
        <v>4.2300000000000004</v>
      </c>
      <c r="G315" s="9">
        <f t="shared" si="11"/>
        <v>7.8040904198062533E-2</v>
      </c>
      <c r="H315" s="8">
        <f t="shared" si="8"/>
        <v>6.7898152770843767E-2</v>
      </c>
      <c r="I315" s="4">
        <f t="shared" si="9"/>
        <v>1.4296437648878418E-2</v>
      </c>
      <c r="J315" s="4">
        <f t="shared" si="10"/>
        <v>3.7499999999999999E-3</v>
      </c>
    </row>
    <row r="316" spans="1:10" x14ac:dyDescent="0.3">
      <c r="A316" s="1">
        <v>36129</v>
      </c>
      <c r="B316" s="3">
        <v>26.4</v>
      </c>
      <c r="C316" s="3">
        <v>4.718</v>
      </c>
      <c r="D316" s="3">
        <v>164.1</v>
      </c>
      <c r="E316" s="3">
        <v>40.29</v>
      </c>
      <c r="F316" s="3">
        <v>4.42</v>
      </c>
      <c r="G316" s="9">
        <f t="shared" si="11"/>
        <v>7.9581993569131759E-2</v>
      </c>
      <c r="H316" s="8">
        <f t="shared" si="8"/>
        <v>7.5949367088607556E-2</v>
      </c>
      <c r="I316" s="4">
        <f t="shared" si="9"/>
        <v>1.5644222851740164E-2</v>
      </c>
      <c r="J316" s="4">
        <f t="shared" si="10"/>
        <v>2.9800000000000004E-3</v>
      </c>
    </row>
    <row r="317" spans="1:10" x14ac:dyDescent="0.3">
      <c r="A317" s="1">
        <v>36160</v>
      </c>
      <c r="B317" s="3">
        <v>27.9</v>
      </c>
      <c r="C317" s="3">
        <v>4.6479999999999997</v>
      </c>
      <c r="D317" s="3">
        <v>164.4</v>
      </c>
      <c r="E317" s="3">
        <v>40.33</v>
      </c>
      <c r="F317" s="3">
        <v>4.37</v>
      </c>
      <c r="G317" s="9">
        <f t="shared" si="11"/>
        <v>8.1523196567444334E-2</v>
      </c>
      <c r="H317" s="8">
        <f t="shared" si="8"/>
        <v>7.8353582940738908E-2</v>
      </c>
      <c r="I317" s="4">
        <f t="shared" si="9"/>
        <v>1.5098221771439851E-2</v>
      </c>
      <c r="J317" s="4">
        <f t="shared" si="10"/>
        <v>2.779999999999996E-3</v>
      </c>
    </row>
    <row r="318" spans="1:10" x14ac:dyDescent="0.3">
      <c r="A318" s="1">
        <v>36189</v>
      </c>
      <c r="B318" s="3">
        <v>29</v>
      </c>
      <c r="C318" s="3">
        <v>4.649</v>
      </c>
      <c r="D318" s="3">
        <v>164.7</v>
      </c>
      <c r="E318" s="3">
        <v>40.090000000000003</v>
      </c>
      <c r="F318" s="3">
        <v>4.37</v>
      </c>
      <c r="G318" s="9">
        <f t="shared" si="11"/>
        <v>7.192513368983966E-2</v>
      </c>
      <c r="H318" s="8">
        <f t="shared" si="8"/>
        <v>0.11449239211773499</v>
      </c>
      <c r="I318" s="4">
        <f t="shared" si="9"/>
        <v>1.5346525006928541E-2</v>
      </c>
      <c r="J318" s="4">
        <f t="shared" si="10"/>
        <v>2.7899999999999991E-3</v>
      </c>
    </row>
    <row r="319" spans="1:10" x14ac:dyDescent="0.3">
      <c r="A319" s="1">
        <v>36217</v>
      </c>
      <c r="B319" s="3">
        <v>28.1</v>
      </c>
      <c r="C319" s="3">
        <v>5.2770000000000001</v>
      </c>
      <c r="D319" s="3">
        <v>164.7</v>
      </c>
      <c r="E319" s="3">
        <v>40.03</v>
      </c>
      <c r="F319" s="3">
        <v>4.55</v>
      </c>
      <c r="G319" s="9">
        <f t="shared" si="11"/>
        <v>6.9748797434526999E-2</v>
      </c>
      <c r="H319" s="8">
        <f t="shared" ref="H319:H382" si="12">G331</f>
        <v>0.13889582812890344</v>
      </c>
      <c r="I319" s="4">
        <f t="shared" ref="I319:I382" si="13">C319%-((D319/D199)^(1/10)-1)</f>
        <v>2.196622008134199E-2</v>
      </c>
      <c r="J319" s="4">
        <f t="shared" ref="J319:J382" si="14">(C319-F319)%</f>
        <v>7.270000000000003E-3</v>
      </c>
    </row>
    <row r="320" spans="1:10" x14ac:dyDescent="0.3">
      <c r="A320" s="1">
        <v>36250</v>
      </c>
      <c r="B320" s="3">
        <v>29.2</v>
      </c>
      <c r="C320" s="3">
        <v>5.234</v>
      </c>
      <c r="D320" s="3">
        <v>164.8</v>
      </c>
      <c r="E320" s="3">
        <v>39.92</v>
      </c>
      <c r="F320" s="3">
        <v>4.37</v>
      </c>
      <c r="G320" s="9">
        <f t="shared" si="11"/>
        <v>7.1965628356605693E-2</v>
      </c>
      <c r="H320" s="8">
        <f t="shared" si="12"/>
        <v>0.13952905811623251</v>
      </c>
      <c r="I320" s="4">
        <f t="shared" si="13"/>
        <v>2.1980925947926833E-2</v>
      </c>
      <c r="J320" s="4">
        <f t="shared" si="14"/>
        <v>8.6399999999999984E-3</v>
      </c>
    </row>
    <row r="321" spans="1:10" x14ac:dyDescent="0.3">
      <c r="A321" s="1">
        <v>36280</v>
      </c>
      <c r="B321" s="3">
        <v>30.6</v>
      </c>
      <c r="C321" s="3">
        <v>5.3449999999999998</v>
      </c>
      <c r="D321" s="3">
        <v>165.9</v>
      </c>
      <c r="E321" s="3">
        <v>39.57</v>
      </c>
      <c r="F321" s="3">
        <v>4.43</v>
      </c>
      <c r="G321" s="9">
        <f t="shared" si="11"/>
        <v>5.5199999999999916E-2</v>
      </c>
      <c r="H321" s="8">
        <f t="shared" si="12"/>
        <v>0.1111953500126357</v>
      </c>
      <c r="I321" s="4">
        <f t="shared" si="13"/>
        <v>2.3161545032320818E-2</v>
      </c>
      <c r="J321" s="4">
        <f t="shared" si="14"/>
        <v>9.1500000000000001E-3</v>
      </c>
    </row>
    <row r="322" spans="1:10" x14ac:dyDescent="0.3">
      <c r="A322" s="1">
        <v>36311</v>
      </c>
      <c r="B322" s="3">
        <v>30.1</v>
      </c>
      <c r="C322" s="3">
        <v>5.62</v>
      </c>
      <c r="D322" s="3">
        <v>166</v>
      </c>
      <c r="E322" s="3">
        <v>39.340000000000003</v>
      </c>
      <c r="F322" s="3">
        <v>4.53</v>
      </c>
      <c r="G322" s="9">
        <f t="shared" si="11"/>
        <v>4.5164718384697267E-2</v>
      </c>
      <c r="H322" s="8">
        <f t="shared" si="12"/>
        <v>0.12150482968988285</v>
      </c>
      <c r="I322" s="4">
        <f t="shared" si="13"/>
        <v>2.6350318916215504E-2</v>
      </c>
      <c r="J322" s="4">
        <f t="shared" si="14"/>
        <v>1.0899999999999998E-2</v>
      </c>
    </row>
    <row r="323" spans="1:10" x14ac:dyDescent="0.3">
      <c r="A323" s="1">
        <v>36341</v>
      </c>
      <c r="B323" s="3">
        <v>31.1</v>
      </c>
      <c r="C323" s="3">
        <v>5.7949999999999999</v>
      </c>
      <c r="D323" s="3">
        <v>166</v>
      </c>
      <c r="E323" s="3">
        <v>39.68</v>
      </c>
      <c r="F323" s="3">
        <v>4.6500000000000004</v>
      </c>
      <c r="G323" s="9">
        <f t="shared" si="11"/>
        <v>5.0569234842467559E-2</v>
      </c>
      <c r="H323" s="8">
        <f t="shared" si="12"/>
        <v>0.11113911290322598</v>
      </c>
      <c r="I323" s="4">
        <f t="shared" si="13"/>
        <v>2.8432743243677117E-2</v>
      </c>
      <c r="J323" s="4">
        <f t="shared" si="14"/>
        <v>1.1449999999999995E-2</v>
      </c>
    </row>
    <row r="324" spans="1:10" x14ac:dyDescent="0.3">
      <c r="A324" s="1">
        <v>36371</v>
      </c>
      <c r="B324" s="3">
        <v>29.2</v>
      </c>
      <c r="C324" s="3">
        <v>5.9020000000000001</v>
      </c>
      <c r="D324" s="3">
        <v>166.7</v>
      </c>
      <c r="E324" s="3">
        <v>40.99</v>
      </c>
      <c r="F324" s="3">
        <v>4.62</v>
      </c>
      <c r="G324" s="9">
        <f t="shared" si="11"/>
        <v>6.5505588770470524E-2</v>
      </c>
      <c r="H324" s="8">
        <f t="shared" si="12"/>
        <v>7.6848011710173081E-2</v>
      </c>
      <c r="I324" s="4">
        <f t="shared" si="13"/>
        <v>2.9400818285375038E-2</v>
      </c>
      <c r="J324" s="4">
        <f t="shared" si="14"/>
        <v>1.282E-2</v>
      </c>
    </row>
    <row r="325" spans="1:10" x14ac:dyDescent="0.3">
      <c r="A325" s="1">
        <v>36403</v>
      </c>
      <c r="B325" s="3">
        <v>29.2</v>
      </c>
      <c r="C325" s="3">
        <v>5.9740000000000002</v>
      </c>
      <c r="D325" s="3">
        <v>167.1</v>
      </c>
      <c r="E325" s="3">
        <v>40.869999999999997</v>
      </c>
      <c r="F325" s="3">
        <v>4.84</v>
      </c>
      <c r="G325" s="9">
        <f t="shared" si="11"/>
        <v>5.5526859504132275E-2</v>
      </c>
      <c r="H325" s="8">
        <f t="shared" si="12"/>
        <v>0.1008074382187425</v>
      </c>
      <c r="I325" s="4">
        <f t="shared" si="13"/>
        <v>2.9874025459468587E-2</v>
      </c>
      <c r="J325" s="4">
        <f t="shared" si="14"/>
        <v>1.1340000000000003E-2</v>
      </c>
    </row>
    <row r="326" spans="1:10" x14ac:dyDescent="0.3">
      <c r="A326" s="1">
        <v>36433</v>
      </c>
      <c r="B326" s="3">
        <v>28</v>
      </c>
      <c r="C326" s="3">
        <v>5.8789999999999996</v>
      </c>
      <c r="D326" s="3">
        <v>167.8</v>
      </c>
      <c r="E326" s="3">
        <v>40.98</v>
      </c>
      <c r="F326" s="3">
        <v>4.74</v>
      </c>
      <c r="G326" s="9">
        <f t="shared" si="11"/>
        <v>6.1933143301373228E-2</v>
      </c>
      <c r="H326" s="8">
        <f t="shared" si="12"/>
        <v>0.10736944851146912</v>
      </c>
      <c r="I326" s="4">
        <f t="shared" si="13"/>
        <v>2.8741350335828572E-2</v>
      </c>
      <c r="J326" s="4">
        <f t="shared" si="14"/>
        <v>1.1389999999999994E-2</v>
      </c>
    </row>
    <row r="327" spans="1:10" x14ac:dyDescent="0.3">
      <c r="A327" s="1">
        <v>36462</v>
      </c>
      <c r="B327" s="3">
        <v>28.6</v>
      </c>
      <c r="C327" s="3">
        <v>6.0179999999999998</v>
      </c>
      <c r="D327" s="3">
        <v>168.1</v>
      </c>
      <c r="E327" s="3">
        <v>42.78</v>
      </c>
      <c r="F327" s="3">
        <v>4.97</v>
      </c>
      <c r="G327" s="9">
        <f t="shared" si="11"/>
        <v>6.7898152770843767E-2</v>
      </c>
      <c r="H327" s="8">
        <f t="shared" si="12"/>
        <v>8.3683964469378092E-2</v>
      </c>
      <c r="I327" s="4">
        <f t="shared" si="13"/>
        <v>3.0441340690126148E-2</v>
      </c>
      <c r="J327" s="4">
        <f t="shared" si="14"/>
        <v>1.048E-2</v>
      </c>
    </row>
    <row r="328" spans="1:10" x14ac:dyDescent="0.3">
      <c r="A328" s="1">
        <v>36494</v>
      </c>
      <c r="B328" s="3">
        <v>29</v>
      </c>
      <c r="C328" s="3">
        <v>6.1760000000000002</v>
      </c>
      <c r="D328" s="3">
        <v>168.4</v>
      </c>
      <c r="E328" s="3">
        <v>43.35</v>
      </c>
      <c r="F328" s="3">
        <v>5.15</v>
      </c>
      <c r="G328" s="9">
        <f t="shared" si="11"/>
        <v>7.5949367088607556E-2</v>
      </c>
      <c r="H328" s="8">
        <f t="shared" si="12"/>
        <v>8.2814302191464684E-2</v>
      </c>
      <c r="I328" s="4">
        <f t="shared" si="13"/>
        <v>3.2247472360285433E-2</v>
      </c>
      <c r="J328" s="4">
        <f t="shared" si="14"/>
        <v>1.0259999999999998E-2</v>
      </c>
    </row>
    <row r="329" spans="1:10" x14ac:dyDescent="0.3">
      <c r="A329" s="1">
        <v>36525</v>
      </c>
      <c r="B329" s="3">
        <v>30.6</v>
      </c>
      <c r="C329" s="3">
        <v>6.4420000000000002</v>
      </c>
      <c r="D329" s="3">
        <v>168.8</v>
      </c>
      <c r="E329" s="3">
        <v>43.49</v>
      </c>
      <c r="F329" s="3">
        <v>5.17</v>
      </c>
      <c r="G329" s="9">
        <f t="shared" si="11"/>
        <v>7.8353582940738908E-2</v>
      </c>
      <c r="H329" s="8">
        <f t="shared" si="12"/>
        <v>7.6339388365141314E-2</v>
      </c>
      <c r="I329" s="4">
        <f t="shared" si="13"/>
        <v>3.4989789709592406E-2</v>
      </c>
      <c r="J329" s="4">
        <f t="shared" si="14"/>
        <v>1.2720000000000002E-2</v>
      </c>
    </row>
    <row r="330" spans="1:10" x14ac:dyDescent="0.3">
      <c r="A330" s="1">
        <v>36556</v>
      </c>
      <c r="B330" s="3">
        <v>28.4</v>
      </c>
      <c r="C330" s="3">
        <v>6.6630000000000003</v>
      </c>
      <c r="D330" s="3">
        <v>169.3</v>
      </c>
      <c r="E330" s="3">
        <v>44.68</v>
      </c>
      <c r="F330" s="3">
        <v>5.53</v>
      </c>
      <c r="G330" s="9">
        <f t="shared" si="11"/>
        <v>0.11449239211773499</v>
      </c>
      <c r="H330" s="8">
        <f t="shared" si="12"/>
        <v>4.1853178155774273E-2</v>
      </c>
      <c r="I330" s="4">
        <f t="shared" si="13"/>
        <v>3.7868560807441651E-2</v>
      </c>
      <c r="J330" s="4">
        <f t="shared" si="14"/>
        <v>1.133E-2</v>
      </c>
    </row>
    <row r="331" spans="1:10" x14ac:dyDescent="0.3">
      <c r="A331" s="1">
        <v>36585</v>
      </c>
      <c r="B331" s="3">
        <v>27.4</v>
      </c>
      <c r="C331" s="3">
        <v>6.4089999999999998</v>
      </c>
      <c r="D331" s="3">
        <v>170</v>
      </c>
      <c r="E331" s="3">
        <v>45.59</v>
      </c>
      <c r="F331" s="3">
        <v>5.62</v>
      </c>
      <c r="G331" s="9">
        <f t="shared" ref="G331:G394" si="15">E331/E319-1</f>
        <v>0.13889582812890344</v>
      </c>
      <c r="H331" s="8">
        <f t="shared" si="12"/>
        <v>3.1366527747312967E-2</v>
      </c>
      <c r="I331" s="4">
        <f t="shared" si="13"/>
        <v>3.5306725259218977E-2</v>
      </c>
      <c r="J331" s="4">
        <f t="shared" si="14"/>
        <v>7.8899999999999977E-3</v>
      </c>
    </row>
    <row r="332" spans="1:10" x14ac:dyDescent="0.3">
      <c r="A332" s="1">
        <v>36616</v>
      </c>
      <c r="B332" s="3">
        <v>29.6</v>
      </c>
      <c r="C332" s="3">
        <v>6.0090000000000003</v>
      </c>
      <c r="D332" s="3">
        <v>171</v>
      </c>
      <c r="E332" s="3">
        <v>45.49</v>
      </c>
      <c r="F332" s="3">
        <v>5.72</v>
      </c>
      <c r="G332" s="9">
        <f t="shared" si="15"/>
        <v>0.13952905811623251</v>
      </c>
      <c r="H332" s="8">
        <f t="shared" si="12"/>
        <v>2.2862167509342779E-2</v>
      </c>
      <c r="I332" s="4">
        <f t="shared" si="13"/>
        <v>3.1184439737058228E-2</v>
      </c>
      <c r="J332" s="4">
        <f t="shared" si="14"/>
        <v>2.8900000000000058E-3</v>
      </c>
    </row>
    <row r="333" spans="1:10" x14ac:dyDescent="0.3">
      <c r="A333" s="1">
        <v>36644</v>
      </c>
      <c r="B333" s="3">
        <v>29.2</v>
      </c>
      <c r="C333" s="3">
        <v>6.2140000000000004</v>
      </c>
      <c r="D333" s="3">
        <v>170.9</v>
      </c>
      <c r="E333" s="3">
        <v>43.97</v>
      </c>
      <c r="F333" s="3">
        <v>5.66</v>
      </c>
      <c r="G333" s="9">
        <f t="shared" si="15"/>
        <v>0.1111953500126357</v>
      </c>
      <c r="H333" s="8">
        <f t="shared" si="12"/>
        <v>6.6408915169433813E-2</v>
      </c>
      <c r="I333" s="4">
        <f t="shared" si="13"/>
        <v>3.3534328634757055E-2</v>
      </c>
      <c r="J333" s="4">
        <f t="shared" si="14"/>
        <v>5.5400000000000024E-3</v>
      </c>
    </row>
    <row r="334" spans="1:10" x14ac:dyDescent="0.3">
      <c r="A334" s="1">
        <v>36677</v>
      </c>
      <c r="B334" s="3">
        <v>28.2</v>
      </c>
      <c r="C334" s="3">
        <v>6.2779999999999996</v>
      </c>
      <c r="D334" s="3">
        <v>171.2</v>
      </c>
      <c r="E334" s="3">
        <v>44.12</v>
      </c>
      <c r="F334" s="3">
        <v>5.48</v>
      </c>
      <c r="G334" s="9">
        <f t="shared" si="15"/>
        <v>0.12150482968988285</v>
      </c>
      <c r="H334" s="8">
        <f t="shared" si="12"/>
        <v>4.9637352674524182E-2</v>
      </c>
      <c r="I334" s="4">
        <f t="shared" si="13"/>
        <v>3.4153397769492055E-2</v>
      </c>
      <c r="J334" s="4">
        <f t="shared" si="14"/>
        <v>7.9799999999999923E-3</v>
      </c>
    </row>
    <row r="335" spans="1:10" x14ac:dyDescent="0.3">
      <c r="A335" s="1">
        <v>36707</v>
      </c>
      <c r="B335" s="3">
        <v>29.4</v>
      </c>
      <c r="C335" s="3">
        <v>6.0250000000000004</v>
      </c>
      <c r="D335" s="3">
        <v>172.2</v>
      </c>
      <c r="E335" s="3">
        <v>44.09</v>
      </c>
      <c r="F335" s="3">
        <v>5.71</v>
      </c>
      <c r="G335" s="9">
        <f t="shared" si="15"/>
        <v>0.11113911290322598</v>
      </c>
      <c r="H335" s="8">
        <f t="shared" si="12"/>
        <v>3.9237922431390349E-2</v>
      </c>
      <c r="I335" s="4">
        <f t="shared" si="13"/>
        <v>3.1659758823948982E-2</v>
      </c>
      <c r="J335" s="4">
        <f t="shared" si="14"/>
        <v>3.1500000000000039E-3</v>
      </c>
    </row>
    <row r="336" spans="1:10" x14ac:dyDescent="0.3">
      <c r="A336" s="1">
        <v>36738</v>
      </c>
      <c r="B336" s="3">
        <v>28.7</v>
      </c>
      <c r="C336" s="3">
        <v>6.0359999999999996</v>
      </c>
      <c r="D336" s="3">
        <v>172.7</v>
      </c>
      <c r="E336" s="3">
        <v>44.14</v>
      </c>
      <c r="F336" s="3">
        <v>6.03</v>
      </c>
      <c r="G336" s="9">
        <f t="shared" si="15"/>
        <v>7.6848011710173081E-2</v>
      </c>
      <c r="H336" s="8">
        <f t="shared" si="12"/>
        <v>-1.7671046669687329E-2</v>
      </c>
      <c r="I336" s="4">
        <f t="shared" si="13"/>
        <v>3.194552061288361E-2</v>
      </c>
      <c r="J336" s="4">
        <f t="shared" si="14"/>
        <v>5.9999999999993395E-5</v>
      </c>
    </row>
    <row r="337" spans="1:10" x14ac:dyDescent="0.3">
      <c r="A337" s="1">
        <v>36769</v>
      </c>
      <c r="B337" s="3">
        <v>30.1</v>
      </c>
      <c r="C337" s="3">
        <v>5.7290000000000001</v>
      </c>
      <c r="D337" s="3">
        <v>172.7</v>
      </c>
      <c r="E337" s="3">
        <v>44.99</v>
      </c>
      <c r="F337" s="3">
        <v>6.13</v>
      </c>
      <c r="G337" s="9">
        <f t="shared" si="15"/>
        <v>0.1008074382187425</v>
      </c>
      <c r="H337" s="8">
        <f t="shared" si="12"/>
        <v>-7.6239164258724124E-2</v>
      </c>
      <c r="I337" s="4">
        <f t="shared" si="13"/>
        <v>2.9738388161868183E-2</v>
      </c>
      <c r="J337" s="4">
        <f t="shared" si="14"/>
        <v>-4.0099999999999979E-3</v>
      </c>
    </row>
    <row r="338" spans="1:10" x14ac:dyDescent="0.3">
      <c r="A338" s="1">
        <v>36798</v>
      </c>
      <c r="B338" s="3">
        <v>28.5</v>
      </c>
      <c r="C338" s="3">
        <v>5.7830000000000004</v>
      </c>
      <c r="D338" s="3">
        <v>173.6</v>
      </c>
      <c r="E338" s="3">
        <v>45.38</v>
      </c>
      <c r="F338" s="3">
        <v>6.05</v>
      </c>
      <c r="G338" s="9">
        <f t="shared" si="15"/>
        <v>0.10736944851146912</v>
      </c>
      <c r="H338" s="8">
        <f t="shared" si="12"/>
        <v>-9.7620096959012748E-2</v>
      </c>
      <c r="I338" s="4">
        <f t="shared" si="13"/>
        <v>3.0444612987476208E-2</v>
      </c>
      <c r="J338" s="4">
        <f t="shared" si="14"/>
        <v>-2.6699999999999944E-3</v>
      </c>
    </row>
    <row r="339" spans="1:10" x14ac:dyDescent="0.3">
      <c r="A339" s="1">
        <v>36830</v>
      </c>
      <c r="B339" s="3">
        <v>27.6</v>
      </c>
      <c r="C339" s="3">
        <v>5.7549999999999999</v>
      </c>
      <c r="D339" s="3">
        <v>173.9</v>
      </c>
      <c r="E339" s="3">
        <v>46.36</v>
      </c>
      <c r="F339" s="3">
        <v>6.19</v>
      </c>
      <c r="G339" s="9">
        <f t="shared" si="15"/>
        <v>8.3683964469378092E-2</v>
      </c>
      <c r="H339" s="8">
        <f t="shared" si="12"/>
        <v>-0.12316652286453844</v>
      </c>
      <c r="I339" s="4">
        <f t="shared" si="13"/>
        <v>3.068257935850572E-2</v>
      </c>
      <c r="J339" s="4">
        <f t="shared" si="14"/>
        <v>-4.3500000000000049E-3</v>
      </c>
    </row>
    <row r="340" spans="1:10" x14ac:dyDescent="0.3">
      <c r="A340" s="1">
        <v>36860</v>
      </c>
      <c r="B340" s="3">
        <v>24.8</v>
      </c>
      <c r="C340" s="3">
        <v>5.4740000000000002</v>
      </c>
      <c r="D340" s="3">
        <v>174.2</v>
      </c>
      <c r="E340" s="3">
        <v>46.94</v>
      </c>
      <c r="F340" s="3">
        <v>6.03</v>
      </c>
      <c r="G340" s="9">
        <f t="shared" si="15"/>
        <v>8.2814302191464684E-2</v>
      </c>
      <c r="H340" s="8">
        <f t="shared" si="12"/>
        <v>-0.18491691521090758</v>
      </c>
      <c r="I340" s="4">
        <f t="shared" si="13"/>
        <v>2.7926253092941826E-2</v>
      </c>
      <c r="J340" s="4">
        <f t="shared" si="14"/>
        <v>-5.5600000000000007E-3</v>
      </c>
    </row>
    <row r="341" spans="1:10" x14ac:dyDescent="0.3">
      <c r="A341" s="1">
        <v>36889</v>
      </c>
      <c r="B341" s="3">
        <v>25.2</v>
      </c>
      <c r="C341" s="3">
        <v>5.1100000000000003</v>
      </c>
      <c r="D341" s="3">
        <v>174.6</v>
      </c>
      <c r="E341" s="3">
        <v>46.81</v>
      </c>
      <c r="F341" s="3">
        <v>5.7249999999999996</v>
      </c>
      <c r="G341" s="9">
        <f t="shared" si="15"/>
        <v>7.6339388365141314E-2</v>
      </c>
      <c r="H341" s="8">
        <f t="shared" si="12"/>
        <v>-0.18329416791283926</v>
      </c>
      <c r="I341" s="4">
        <f t="shared" si="13"/>
        <v>2.44340175351688E-2</v>
      </c>
      <c r="J341" s="4">
        <f t="shared" si="14"/>
        <v>-6.1499999999999931E-3</v>
      </c>
    </row>
    <row r="342" spans="1:10" x14ac:dyDescent="0.3">
      <c r="A342" s="1">
        <v>36922</v>
      </c>
      <c r="B342" s="3">
        <v>26</v>
      </c>
      <c r="C342" s="3">
        <v>5.1120000000000001</v>
      </c>
      <c r="D342" s="3">
        <v>175.6</v>
      </c>
      <c r="E342" s="3">
        <v>46.55</v>
      </c>
      <c r="F342" s="3">
        <v>4.83</v>
      </c>
      <c r="G342" s="9">
        <f t="shared" si="15"/>
        <v>4.1853178155774273E-2</v>
      </c>
      <c r="H342" s="8">
        <f t="shared" si="12"/>
        <v>-0.20343716433941994</v>
      </c>
      <c r="I342" s="4">
        <f t="shared" si="13"/>
        <v>2.4249466928291052E-2</v>
      </c>
      <c r="J342" s="4">
        <f t="shared" si="14"/>
        <v>2.8200000000000005E-3</v>
      </c>
    </row>
    <row r="343" spans="1:10" x14ac:dyDescent="0.3">
      <c r="A343" s="1">
        <v>36950</v>
      </c>
      <c r="B343" s="3">
        <v>23.4</v>
      </c>
      <c r="C343" s="3">
        <v>4.9039999999999999</v>
      </c>
      <c r="D343" s="3">
        <v>176</v>
      </c>
      <c r="E343" s="3">
        <v>47.02</v>
      </c>
      <c r="F343" s="3">
        <v>4.7300000000000004</v>
      </c>
      <c r="G343" s="9">
        <f t="shared" si="15"/>
        <v>3.1366527747312967E-2</v>
      </c>
      <c r="H343" s="8">
        <f t="shared" si="12"/>
        <v>-0.24776690769885168</v>
      </c>
      <c r="I343" s="4">
        <f t="shared" si="13"/>
        <v>2.2012015193994899E-2</v>
      </c>
      <c r="J343" s="4">
        <f t="shared" si="14"/>
        <v>1.7399999999999948E-3</v>
      </c>
    </row>
    <row r="344" spans="1:10" x14ac:dyDescent="0.3">
      <c r="A344" s="1">
        <v>36980</v>
      </c>
      <c r="B344" s="3">
        <v>22</v>
      </c>
      <c r="C344" s="3">
        <v>4.9109999999999996</v>
      </c>
      <c r="D344" s="3">
        <v>176.1</v>
      </c>
      <c r="E344" s="3">
        <v>46.53</v>
      </c>
      <c r="F344" s="3">
        <v>4.18</v>
      </c>
      <c r="G344" s="9">
        <f t="shared" si="15"/>
        <v>2.2862167509342779E-2</v>
      </c>
      <c r="H344" s="8">
        <f t="shared" si="12"/>
        <v>-0.23726627981947124</v>
      </c>
      <c r="I344" s="4">
        <f t="shared" si="13"/>
        <v>2.2023676245876984E-2</v>
      </c>
      <c r="J344" s="4">
        <f t="shared" si="14"/>
        <v>7.3099999999999988E-3</v>
      </c>
    </row>
    <row r="345" spans="1:10" x14ac:dyDescent="0.3">
      <c r="A345" s="1">
        <v>37011</v>
      </c>
      <c r="B345" s="3">
        <v>23.5</v>
      </c>
      <c r="C345" s="3">
        <v>5.3360000000000003</v>
      </c>
      <c r="D345" s="3">
        <v>176.4</v>
      </c>
      <c r="E345" s="3">
        <v>46.89</v>
      </c>
      <c r="F345" s="3">
        <v>3.8050000000000002</v>
      </c>
      <c r="G345" s="9">
        <f t="shared" si="15"/>
        <v>6.6408915169433813E-2</v>
      </c>
      <c r="H345" s="8">
        <f t="shared" si="12"/>
        <v>-0.22947323523139262</v>
      </c>
      <c r="I345" s="4">
        <f t="shared" si="13"/>
        <v>2.6327177670602817E-2</v>
      </c>
      <c r="J345" s="4">
        <f t="shared" si="14"/>
        <v>1.5310000000000001E-2</v>
      </c>
    </row>
    <row r="346" spans="1:10" x14ac:dyDescent="0.3">
      <c r="A346" s="1">
        <v>37042</v>
      </c>
      <c r="B346" s="3">
        <v>24</v>
      </c>
      <c r="C346" s="3">
        <v>5.3789999999999996</v>
      </c>
      <c r="D346" s="3">
        <v>177.3</v>
      </c>
      <c r="E346" s="3">
        <v>46.31</v>
      </c>
      <c r="F346" s="3">
        <v>3.54</v>
      </c>
      <c r="G346" s="9">
        <f t="shared" si="15"/>
        <v>4.9637352674524182E-2</v>
      </c>
      <c r="H346" s="8">
        <f t="shared" si="12"/>
        <v>-0.22824443964586483</v>
      </c>
      <c r="I346" s="4">
        <f t="shared" si="13"/>
        <v>2.6613902867395504E-2</v>
      </c>
      <c r="J346" s="4">
        <f t="shared" si="14"/>
        <v>1.8389999999999997E-2</v>
      </c>
    </row>
    <row r="347" spans="1:10" x14ac:dyDescent="0.3">
      <c r="A347" s="1">
        <v>37071</v>
      </c>
      <c r="B347" s="3">
        <v>23.7</v>
      </c>
      <c r="C347" s="3">
        <v>5.3650000000000002</v>
      </c>
      <c r="D347" s="3">
        <v>177.7</v>
      </c>
      <c r="E347" s="3">
        <v>45.82</v>
      </c>
      <c r="F347" s="3">
        <v>3.5</v>
      </c>
      <c r="G347" s="9">
        <f t="shared" si="15"/>
        <v>3.9237922431390349E-2</v>
      </c>
      <c r="H347" s="8">
        <f t="shared" si="12"/>
        <v>-0.22130074203404626</v>
      </c>
      <c r="I347" s="4">
        <f t="shared" si="13"/>
        <v>2.6544979776795624E-2</v>
      </c>
      <c r="J347" s="4">
        <f t="shared" si="14"/>
        <v>1.8650000000000003E-2</v>
      </c>
    </row>
    <row r="348" spans="1:10" x14ac:dyDescent="0.3">
      <c r="A348" s="1">
        <v>37103</v>
      </c>
      <c r="B348" s="3">
        <v>24.7</v>
      </c>
      <c r="C348" s="3">
        <v>5.0439999999999996</v>
      </c>
      <c r="D348" s="3">
        <v>177.4</v>
      </c>
      <c r="E348" s="3">
        <v>43.36</v>
      </c>
      <c r="F348" s="3">
        <v>3.4550000000000001</v>
      </c>
      <c r="G348" s="9">
        <f t="shared" si="15"/>
        <v>-1.7671046669687329E-2</v>
      </c>
      <c r="H348" s="8">
        <f t="shared" si="12"/>
        <v>-0.15198339483394829</v>
      </c>
      <c r="I348" s="4">
        <f t="shared" si="13"/>
        <v>2.3659408799693485E-2</v>
      </c>
      <c r="J348" s="4">
        <f t="shared" si="14"/>
        <v>1.5889999999999994E-2</v>
      </c>
    </row>
    <row r="349" spans="1:10" x14ac:dyDescent="0.3">
      <c r="A349" s="1">
        <v>37134</v>
      </c>
      <c r="B349" s="3">
        <v>24.4</v>
      </c>
      <c r="C349" s="3">
        <v>4.84</v>
      </c>
      <c r="D349" s="3">
        <v>177.4</v>
      </c>
      <c r="E349" s="3">
        <v>41.56</v>
      </c>
      <c r="F349" s="3">
        <v>3.2949999999999999</v>
      </c>
      <c r="G349" s="9">
        <f t="shared" si="15"/>
        <v>-7.6239164258724124E-2</v>
      </c>
      <c r="H349" s="8">
        <f t="shared" si="12"/>
        <v>-0.11212704523580375</v>
      </c>
      <c r="I349" s="4">
        <f t="shared" si="13"/>
        <v>2.1920473546675812E-2</v>
      </c>
      <c r="J349" s="4">
        <f t="shared" si="14"/>
        <v>1.5449999999999998E-2</v>
      </c>
    </row>
    <row r="350" spans="1:10" x14ac:dyDescent="0.3">
      <c r="A350" s="1">
        <v>37162</v>
      </c>
      <c r="B350" s="3">
        <v>22.9</v>
      </c>
      <c r="C350" s="3">
        <v>4.5819999999999999</v>
      </c>
      <c r="D350" s="3">
        <v>178.1</v>
      </c>
      <c r="E350" s="3">
        <v>40.950000000000003</v>
      </c>
      <c r="F350" s="3">
        <v>2.3199999999999998</v>
      </c>
      <c r="G350" s="9">
        <f t="shared" si="15"/>
        <v>-9.7620096959012748E-2</v>
      </c>
      <c r="H350" s="8">
        <f t="shared" si="12"/>
        <v>-9.719169719169729E-2</v>
      </c>
      <c r="I350" s="4">
        <f t="shared" si="13"/>
        <v>1.9236368695767975E-2</v>
      </c>
      <c r="J350" s="4">
        <f t="shared" si="14"/>
        <v>2.2620000000000001E-2</v>
      </c>
    </row>
    <row r="351" spans="1:10" x14ac:dyDescent="0.3">
      <c r="A351" s="1">
        <v>37195</v>
      </c>
      <c r="B351" s="3">
        <v>23.5</v>
      </c>
      <c r="C351" s="3">
        <v>4.2439999999999998</v>
      </c>
      <c r="D351" s="3">
        <v>177.6</v>
      </c>
      <c r="E351" s="3">
        <v>40.65</v>
      </c>
      <c r="F351" s="3">
        <v>2</v>
      </c>
      <c r="G351" s="9">
        <f t="shared" si="15"/>
        <v>-0.12316652286453844</v>
      </c>
      <c r="H351" s="8">
        <f t="shared" si="12"/>
        <v>-6.519065190651907E-2</v>
      </c>
      <c r="I351" s="4">
        <f t="shared" si="13"/>
        <v>1.6294641641883399E-2</v>
      </c>
      <c r="J351" s="4">
        <f t="shared" si="14"/>
        <v>2.2439999999999998E-2</v>
      </c>
    </row>
    <row r="352" spans="1:10" x14ac:dyDescent="0.3">
      <c r="A352" s="1">
        <v>37225</v>
      </c>
      <c r="B352" s="3">
        <v>26.7</v>
      </c>
      <c r="C352" s="3">
        <v>4.75</v>
      </c>
      <c r="D352" s="3">
        <v>177.5</v>
      </c>
      <c r="E352" s="3">
        <v>38.26</v>
      </c>
      <c r="F352" s="3">
        <v>1.7450000000000001</v>
      </c>
      <c r="G352" s="9">
        <f t="shared" si="15"/>
        <v>-0.18491691521090758</v>
      </c>
      <c r="H352" s="8">
        <f t="shared" si="12"/>
        <v>1.5420805018296013E-2</v>
      </c>
      <c r="I352" s="4">
        <f t="shared" si="13"/>
        <v>2.1860085077038197E-2</v>
      </c>
      <c r="J352" s="4">
        <f t="shared" si="14"/>
        <v>3.005E-2</v>
      </c>
    </row>
    <row r="353" spans="1:10" x14ac:dyDescent="0.3">
      <c r="A353" s="1">
        <v>37256</v>
      </c>
      <c r="B353" s="3">
        <v>27</v>
      </c>
      <c r="C353" s="3">
        <v>5.0289999999999999</v>
      </c>
      <c r="D353" s="3">
        <v>177.4</v>
      </c>
      <c r="E353" s="3">
        <v>38.229999999999997</v>
      </c>
      <c r="F353" s="3">
        <v>1.6850000000000001</v>
      </c>
      <c r="G353" s="9">
        <f t="shared" si="15"/>
        <v>-0.18329416791283926</v>
      </c>
      <c r="H353" s="8">
        <f t="shared" si="12"/>
        <v>2.7726916034527926E-2</v>
      </c>
      <c r="I353" s="4">
        <f t="shared" si="13"/>
        <v>2.5005109570428508E-2</v>
      </c>
      <c r="J353" s="4">
        <f t="shared" si="14"/>
        <v>3.3439999999999998E-2</v>
      </c>
    </row>
    <row r="354" spans="1:10" x14ac:dyDescent="0.3">
      <c r="A354" s="1">
        <v>37287</v>
      </c>
      <c r="B354" s="3">
        <v>27.4</v>
      </c>
      <c r="C354" s="3">
        <v>5.0330000000000004</v>
      </c>
      <c r="D354" s="3">
        <v>177.7</v>
      </c>
      <c r="E354" s="3">
        <v>37.08</v>
      </c>
      <c r="F354" s="3">
        <v>1.7250000000000001</v>
      </c>
      <c r="G354" s="9">
        <f t="shared" si="15"/>
        <v>-0.20343716433941994</v>
      </c>
      <c r="H354" s="8">
        <f t="shared" si="12"/>
        <v>6.3646170442287042E-2</v>
      </c>
      <c r="I354" s="4">
        <f t="shared" si="13"/>
        <v>2.4946027613461229E-2</v>
      </c>
      <c r="J354" s="4">
        <f t="shared" si="14"/>
        <v>3.3080000000000005E-2</v>
      </c>
    </row>
    <row r="355" spans="1:10" x14ac:dyDescent="0.3">
      <c r="A355" s="1">
        <v>37315</v>
      </c>
      <c r="B355" s="3">
        <v>28.3</v>
      </c>
      <c r="C355" s="3">
        <v>4.8739999999999997</v>
      </c>
      <c r="D355" s="3">
        <v>178</v>
      </c>
      <c r="E355" s="3">
        <v>35.369999999999997</v>
      </c>
      <c r="F355" s="3">
        <v>1.7150000000000001</v>
      </c>
      <c r="G355" s="9">
        <f t="shared" si="15"/>
        <v>-0.24776690769885168</v>
      </c>
      <c r="H355" s="8">
        <f t="shared" si="12"/>
        <v>0.14249363867684472</v>
      </c>
      <c r="I355" s="4">
        <f t="shared" si="13"/>
        <v>2.3405248241760594E-2</v>
      </c>
      <c r="J355" s="4">
        <f t="shared" si="14"/>
        <v>3.159E-2</v>
      </c>
    </row>
    <row r="356" spans="1:10" x14ac:dyDescent="0.3">
      <c r="A356" s="1">
        <v>37344</v>
      </c>
      <c r="B356" s="3">
        <v>29.3</v>
      </c>
      <c r="C356" s="3">
        <v>5.4020000000000001</v>
      </c>
      <c r="D356" s="3">
        <v>178.5</v>
      </c>
      <c r="E356" s="3">
        <v>35.49</v>
      </c>
      <c r="F356" s="3">
        <v>1.76</v>
      </c>
      <c r="G356" s="9">
        <f t="shared" si="15"/>
        <v>-0.23726627981947124</v>
      </c>
      <c r="H356" s="8">
        <f t="shared" si="12"/>
        <v>0.13581290504367427</v>
      </c>
      <c r="I356" s="4">
        <f t="shared" si="13"/>
        <v>2.8766857666476617E-2</v>
      </c>
      <c r="J356" s="4">
        <f t="shared" si="14"/>
        <v>3.6420000000000001E-2</v>
      </c>
    </row>
    <row r="357" spans="1:10" x14ac:dyDescent="0.3">
      <c r="A357" s="1">
        <v>37376</v>
      </c>
      <c r="B357" s="3">
        <v>27.4</v>
      </c>
      <c r="C357" s="3">
        <v>5.0890000000000004</v>
      </c>
      <c r="D357" s="3">
        <v>179.3</v>
      </c>
      <c r="E357" s="3">
        <v>36.130000000000003</v>
      </c>
      <c r="F357" s="3">
        <v>1.74</v>
      </c>
      <c r="G357" s="9">
        <f t="shared" si="15"/>
        <v>-0.22947323523139262</v>
      </c>
      <c r="H357" s="8">
        <f t="shared" si="12"/>
        <v>0.11320232493772475</v>
      </c>
      <c r="I357" s="4">
        <f t="shared" si="13"/>
        <v>2.539924002290074E-2</v>
      </c>
      <c r="J357" s="4">
        <f t="shared" si="14"/>
        <v>3.3489999999999999E-2</v>
      </c>
    </row>
    <row r="358" spans="1:10" x14ac:dyDescent="0.3">
      <c r="A358" s="1">
        <v>37407</v>
      </c>
      <c r="B358" s="3">
        <v>27.5</v>
      </c>
      <c r="C358" s="3">
        <v>5.0449999999999999</v>
      </c>
      <c r="D358" s="3">
        <v>179.5</v>
      </c>
      <c r="E358" s="3">
        <v>35.74</v>
      </c>
      <c r="F358" s="3">
        <v>1.71</v>
      </c>
      <c r="G358" s="9">
        <f t="shared" si="15"/>
        <v>-0.22824443964586483</v>
      </c>
      <c r="H358" s="8">
        <f t="shared" si="12"/>
        <v>0.18606603245663123</v>
      </c>
      <c r="I358" s="4">
        <f t="shared" si="13"/>
        <v>2.5065366735279933E-2</v>
      </c>
      <c r="J358" s="4">
        <f t="shared" si="14"/>
        <v>3.3349999999999998E-2</v>
      </c>
    </row>
    <row r="359" spans="1:10" x14ac:dyDescent="0.3">
      <c r="A359" s="1">
        <v>37435</v>
      </c>
      <c r="B359" s="3">
        <v>25.5</v>
      </c>
      <c r="C359" s="3">
        <v>4.8090000000000002</v>
      </c>
      <c r="D359" s="3">
        <v>179.6</v>
      </c>
      <c r="E359" s="3">
        <v>35.68</v>
      </c>
      <c r="F359" s="3">
        <v>1.67</v>
      </c>
      <c r="G359" s="9">
        <f t="shared" si="15"/>
        <v>-0.22130074203404626</v>
      </c>
      <c r="H359" s="8">
        <f t="shared" si="12"/>
        <v>0.18890134529147984</v>
      </c>
      <c r="I359" s="4">
        <f t="shared" si="13"/>
        <v>2.2941407626762923E-2</v>
      </c>
      <c r="J359" s="4">
        <f t="shared" si="14"/>
        <v>3.1390000000000001E-2</v>
      </c>
    </row>
    <row r="360" spans="1:10" x14ac:dyDescent="0.3">
      <c r="A360" s="1">
        <v>37468</v>
      </c>
      <c r="B360" s="3">
        <v>23</v>
      </c>
      <c r="C360" s="3">
        <v>4.4589999999999996</v>
      </c>
      <c r="D360" s="3">
        <v>180</v>
      </c>
      <c r="E360" s="3">
        <v>36.770000000000003</v>
      </c>
      <c r="F360" s="3">
        <v>1.68</v>
      </c>
      <c r="G360" s="9">
        <f t="shared" si="15"/>
        <v>-0.15198339483394829</v>
      </c>
      <c r="H360" s="8">
        <f t="shared" si="12"/>
        <v>0.15420179494152819</v>
      </c>
      <c r="I360" s="4">
        <f t="shared" si="13"/>
        <v>1.9505614814799489E-2</v>
      </c>
      <c r="J360" s="4">
        <f t="shared" si="14"/>
        <v>2.7789999999999999E-2</v>
      </c>
    </row>
    <row r="361" spans="1:10" x14ac:dyDescent="0.3">
      <c r="A361" s="1">
        <v>37498</v>
      </c>
      <c r="B361" s="3">
        <v>23.1</v>
      </c>
      <c r="C361" s="3">
        <v>4.13</v>
      </c>
      <c r="D361" s="3">
        <v>180.5</v>
      </c>
      <c r="E361" s="3">
        <v>36.9</v>
      </c>
      <c r="F361" s="3">
        <v>1.66</v>
      </c>
      <c r="G361" s="9">
        <f t="shared" si="15"/>
        <v>-0.11212704523580375</v>
      </c>
      <c r="H361" s="8">
        <f t="shared" si="12"/>
        <v>0.17886178861788626</v>
      </c>
      <c r="I361" s="4">
        <f t="shared" si="13"/>
        <v>1.6149907677056922E-2</v>
      </c>
      <c r="J361" s="4">
        <f t="shared" si="14"/>
        <v>2.4699999999999996E-2</v>
      </c>
    </row>
    <row r="362" spans="1:10" x14ac:dyDescent="0.3">
      <c r="A362" s="1">
        <v>37529</v>
      </c>
      <c r="B362" s="3">
        <v>20.8</v>
      </c>
      <c r="C362" s="3">
        <v>3.6</v>
      </c>
      <c r="D362" s="3">
        <v>180.8</v>
      </c>
      <c r="E362" s="3">
        <v>36.97</v>
      </c>
      <c r="F362" s="3">
        <v>1.54</v>
      </c>
      <c r="G362" s="9">
        <f t="shared" si="15"/>
        <v>-9.719169719169729E-2</v>
      </c>
      <c r="H362" s="8">
        <f t="shared" si="12"/>
        <v>0.17987557479037064</v>
      </c>
      <c r="I362" s="4">
        <f t="shared" si="13"/>
        <v>1.0897857433470798E-2</v>
      </c>
      <c r="J362" s="4">
        <f t="shared" si="14"/>
        <v>2.06E-2</v>
      </c>
    </row>
    <row r="363" spans="1:10" x14ac:dyDescent="0.3">
      <c r="A363" s="1">
        <v>37560</v>
      </c>
      <c r="B363" s="3">
        <v>21.7</v>
      </c>
      <c r="C363" s="3">
        <v>3.8940000000000001</v>
      </c>
      <c r="D363" s="3">
        <v>181.2</v>
      </c>
      <c r="E363" s="3">
        <v>38</v>
      </c>
      <c r="F363" s="3">
        <v>1.42</v>
      </c>
      <c r="G363" s="9">
        <f t="shared" si="15"/>
        <v>-6.519065190651907E-2</v>
      </c>
      <c r="H363" s="8">
        <f t="shared" si="12"/>
        <v>0.16315789473684217</v>
      </c>
      <c r="I363" s="4">
        <f t="shared" si="13"/>
        <v>1.4046274586836188E-2</v>
      </c>
      <c r="J363" s="4">
        <f t="shared" si="14"/>
        <v>2.4740000000000002E-2</v>
      </c>
    </row>
    <row r="364" spans="1:10" x14ac:dyDescent="0.3">
      <c r="A364" s="1">
        <v>37589</v>
      </c>
      <c r="B364" s="3">
        <v>22.2</v>
      </c>
      <c r="C364" s="3">
        <v>4.2110000000000003</v>
      </c>
      <c r="D364" s="3">
        <v>181.5</v>
      </c>
      <c r="E364" s="3">
        <v>38.85</v>
      </c>
      <c r="F364" s="3">
        <v>1.2</v>
      </c>
      <c r="G364" s="9">
        <f t="shared" si="15"/>
        <v>1.5420805018296013E-2</v>
      </c>
      <c r="H364" s="8">
        <f t="shared" si="12"/>
        <v>0.16190476190476177</v>
      </c>
      <c r="I364" s="4">
        <f t="shared" si="13"/>
        <v>1.7335629661262474E-2</v>
      </c>
      <c r="J364" s="4">
        <f t="shared" si="14"/>
        <v>3.0110000000000001E-2</v>
      </c>
    </row>
    <row r="365" spans="1:10" x14ac:dyDescent="0.3">
      <c r="A365" s="1">
        <v>37621</v>
      </c>
      <c r="B365" s="3">
        <v>20.8</v>
      </c>
      <c r="C365" s="3">
        <v>3.8149999999999999</v>
      </c>
      <c r="D365" s="3">
        <v>181.8</v>
      </c>
      <c r="E365" s="3">
        <v>39.29</v>
      </c>
      <c r="F365" s="3">
        <v>1.2</v>
      </c>
      <c r="G365" s="9">
        <f t="shared" si="15"/>
        <v>2.7726916034527926E-2</v>
      </c>
      <c r="H365" s="8">
        <f t="shared" si="12"/>
        <v>0.15856452023415635</v>
      </c>
      <c r="I365" s="4">
        <f t="shared" si="13"/>
        <v>1.3350516433103678E-2</v>
      </c>
      <c r="J365" s="4">
        <f t="shared" si="14"/>
        <v>2.6150000000000003E-2</v>
      </c>
    </row>
    <row r="366" spans="1:10" x14ac:dyDescent="0.3">
      <c r="A366" s="1">
        <v>37652</v>
      </c>
      <c r="B366" s="3">
        <v>20.2</v>
      </c>
      <c r="C366" s="3">
        <v>3.9660000000000002</v>
      </c>
      <c r="D366" s="3">
        <v>182.6</v>
      </c>
      <c r="E366" s="3">
        <v>39.44</v>
      </c>
      <c r="F366" s="3">
        <v>1.1599999999999999</v>
      </c>
      <c r="G366" s="9">
        <f t="shared" si="15"/>
        <v>6.3646170442287042E-2</v>
      </c>
      <c r="H366" s="8">
        <f t="shared" si="12"/>
        <v>0.18990872210953347</v>
      </c>
      <c r="I366" s="4">
        <f t="shared" si="13"/>
        <v>1.4769997881320024E-2</v>
      </c>
      <c r="J366" s="4">
        <f t="shared" si="14"/>
        <v>2.8060000000000002E-2</v>
      </c>
    </row>
    <row r="367" spans="1:10" x14ac:dyDescent="0.3">
      <c r="A367" s="1">
        <v>37680</v>
      </c>
      <c r="B367" s="3">
        <v>19.3</v>
      </c>
      <c r="C367" s="3">
        <v>3.6920000000000002</v>
      </c>
      <c r="D367" s="3">
        <v>183.6</v>
      </c>
      <c r="E367" s="3">
        <v>40.409999999999997</v>
      </c>
      <c r="F367" s="3">
        <v>1.1850000000000001</v>
      </c>
      <c r="G367" s="9">
        <f t="shared" si="15"/>
        <v>0.14249363867684472</v>
      </c>
      <c r="H367" s="8">
        <f t="shared" si="12"/>
        <v>0.20836426627072502</v>
      </c>
      <c r="I367" s="4">
        <f t="shared" si="13"/>
        <v>1.1685282393454947E-2</v>
      </c>
      <c r="J367" s="4">
        <f t="shared" si="14"/>
        <v>2.5070000000000002E-2</v>
      </c>
    </row>
    <row r="368" spans="1:10" x14ac:dyDescent="0.3">
      <c r="A368" s="1">
        <v>37711</v>
      </c>
      <c r="B368" s="3">
        <v>19.5</v>
      </c>
      <c r="C368" s="3">
        <v>3.802</v>
      </c>
      <c r="D368" s="3">
        <v>183.9</v>
      </c>
      <c r="E368" s="3">
        <v>40.31</v>
      </c>
      <c r="F368" s="3">
        <v>1.0900000000000001</v>
      </c>
      <c r="G368" s="9">
        <f t="shared" si="15"/>
        <v>0.13581290504367427</v>
      </c>
      <c r="H368" s="8">
        <f t="shared" si="12"/>
        <v>0.21260233192756139</v>
      </c>
      <c r="I368" s="4">
        <f t="shared" si="13"/>
        <v>1.2761086040379566E-2</v>
      </c>
      <c r="J368" s="4">
        <f t="shared" si="14"/>
        <v>2.7119999999999998E-2</v>
      </c>
    </row>
    <row r="369" spans="1:10" x14ac:dyDescent="0.3">
      <c r="A369" s="1">
        <v>37741</v>
      </c>
      <c r="B369" s="3">
        <v>21</v>
      </c>
      <c r="C369" s="3">
        <v>3.84</v>
      </c>
      <c r="D369" s="3">
        <v>183.2</v>
      </c>
      <c r="E369" s="3">
        <v>40.22</v>
      </c>
      <c r="F369" s="3">
        <v>1.105</v>
      </c>
      <c r="G369" s="9">
        <f t="shared" si="15"/>
        <v>0.11320232493772475</v>
      </c>
      <c r="H369" s="8">
        <f t="shared" si="12"/>
        <v>0.24365987071108908</v>
      </c>
      <c r="I369" s="4">
        <f t="shared" si="13"/>
        <v>1.388892304766421E-2</v>
      </c>
      <c r="J369" s="4">
        <f t="shared" si="14"/>
        <v>2.7349999999999999E-2</v>
      </c>
    </row>
    <row r="370" spans="1:10" x14ac:dyDescent="0.3">
      <c r="A370" s="1">
        <v>37771</v>
      </c>
      <c r="B370" s="3">
        <v>21.1</v>
      </c>
      <c r="C370" s="3">
        <v>3.37</v>
      </c>
      <c r="D370" s="3">
        <v>182.9</v>
      </c>
      <c r="E370" s="3">
        <v>42.39</v>
      </c>
      <c r="F370" s="3">
        <v>1.095</v>
      </c>
      <c r="G370" s="9">
        <f t="shared" si="15"/>
        <v>0.18606603245663123</v>
      </c>
      <c r="H370" s="8">
        <f t="shared" si="12"/>
        <v>0.23024298183533842</v>
      </c>
      <c r="I370" s="4">
        <f t="shared" si="13"/>
        <v>9.6413165267698539E-3</v>
      </c>
      <c r="J370" s="4">
        <f t="shared" si="14"/>
        <v>2.2750000000000003E-2</v>
      </c>
    </row>
    <row r="371" spans="1:10" x14ac:dyDescent="0.3">
      <c r="A371" s="1">
        <v>37802</v>
      </c>
      <c r="B371" s="3">
        <v>21.3</v>
      </c>
      <c r="C371" s="3">
        <v>3.5209999999999999</v>
      </c>
      <c r="D371" s="3">
        <v>183.1</v>
      </c>
      <c r="E371" s="3">
        <v>42.42</v>
      </c>
      <c r="F371" s="3">
        <v>0.84499999999999997</v>
      </c>
      <c r="G371" s="9">
        <f t="shared" si="15"/>
        <v>0.18890134529147984</v>
      </c>
      <c r="H371" s="8">
        <f t="shared" si="12"/>
        <v>0.25577557755775571</v>
      </c>
      <c r="I371" s="4">
        <f t="shared" si="13"/>
        <v>1.1110388655288607E-2</v>
      </c>
      <c r="J371" s="4">
        <f t="shared" si="14"/>
        <v>2.6760000000000003E-2</v>
      </c>
    </row>
    <row r="372" spans="1:10" x14ac:dyDescent="0.3">
      <c r="A372" s="1">
        <v>37833</v>
      </c>
      <c r="B372" s="3">
        <v>21.6</v>
      </c>
      <c r="C372" s="3">
        <v>4.41</v>
      </c>
      <c r="D372" s="3">
        <v>183.7</v>
      </c>
      <c r="E372" s="3">
        <v>42.44</v>
      </c>
      <c r="F372" s="3">
        <v>0.92500000000000004</v>
      </c>
      <c r="G372" s="9">
        <f t="shared" si="15"/>
        <v>0.15420179494152819</v>
      </c>
      <c r="H372" s="8">
        <f t="shared" si="12"/>
        <v>0.25848256361922717</v>
      </c>
      <c r="I372" s="4">
        <f t="shared" si="13"/>
        <v>1.9807174165410418E-2</v>
      </c>
      <c r="J372" s="4">
        <f t="shared" si="14"/>
        <v>3.4850000000000006E-2</v>
      </c>
    </row>
    <row r="373" spans="1:10" x14ac:dyDescent="0.3">
      <c r="A373" s="1">
        <v>37862</v>
      </c>
      <c r="B373" s="3">
        <v>21.5</v>
      </c>
      <c r="C373" s="3">
        <v>4.4630000000000001</v>
      </c>
      <c r="D373" s="3">
        <v>184.5</v>
      </c>
      <c r="E373" s="3">
        <v>43.5</v>
      </c>
      <c r="F373" s="3">
        <v>0.96</v>
      </c>
      <c r="G373" s="9">
        <f t="shared" si="15"/>
        <v>0.17886178861788626</v>
      </c>
      <c r="H373" s="8">
        <f t="shared" si="12"/>
        <v>0.25310344827586206</v>
      </c>
      <c r="I373" s="4">
        <f t="shared" si="13"/>
        <v>2.0104479739497638E-2</v>
      </c>
      <c r="J373" s="4">
        <f t="shared" si="14"/>
        <v>3.5029999999999999E-2</v>
      </c>
    </row>
    <row r="374" spans="1:10" x14ac:dyDescent="0.3">
      <c r="A374" s="1">
        <v>37894</v>
      </c>
      <c r="B374" s="3">
        <v>21.2</v>
      </c>
      <c r="C374" s="3">
        <v>3.9430000000000001</v>
      </c>
      <c r="D374" s="3">
        <v>185.1</v>
      </c>
      <c r="E374" s="3">
        <v>43.62</v>
      </c>
      <c r="F374" s="3">
        <v>0.93</v>
      </c>
      <c r="G374" s="9">
        <f t="shared" si="15"/>
        <v>0.17987557479037064</v>
      </c>
      <c r="H374" s="8">
        <f t="shared" si="12"/>
        <v>0.25057313159101335</v>
      </c>
      <c r="I374" s="4">
        <f t="shared" si="13"/>
        <v>1.4713234856460401E-2</v>
      </c>
      <c r="J374" s="4">
        <f t="shared" si="14"/>
        <v>3.0130000000000001E-2</v>
      </c>
    </row>
    <row r="375" spans="1:10" x14ac:dyDescent="0.3">
      <c r="A375" s="1">
        <v>37925</v>
      </c>
      <c r="B375" s="3">
        <v>22.1</v>
      </c>
      <c r="C375" s="3">
        <v>4.2969999999999997</v>
      </c>
      <c r="D375" s="3">
        <v>184.9</v>
      </c>
      <c r="E375" s="3">
        <v>44.2</v>
      </c>
      <c r="F375" s="3">
        <v>0.93500000000000005</v>
      </c>
      <c r="G375" s="9">
        <f t="shared" si="15"/>
        <v>0.16315789473684217</v>
      </c>
      <c r="H375" s="8">
        <f t="shared" si="12"/>
        <v>0.23642533936651566</v>
      </c>
      <c r="I375" s="4">
        <f t="shared" si="13"/>
        <v>1.8787021840568394E-2</v>
      </c>
      <c r="J375" s="4">
        <f t="shared" si="14"/>
        <v>3.3619999999999997E-2</v>
      </c>
    </row>
    <row r="376" spans="1:10" x14ac:dyDescent="0.3">
      <c r="A376" s="1">
        <v>37953</v>
      </c>
      <c r="B376" s="3">
        <v>21.9</v>
      </c>
      <c r="C376" s="3">
        <v>4.33</v>
      </c>
      <c r="D376" s="3">
        <v>185</v>
      </c>
      <c r="E376" s="3">
        <v>45.14</v>
      </c>
      <c r="F376" s="3">
        <v>0.92</v>
      </c>
      <c r="G376" s="9">
        <f t="shared" si="15"/>
        <v>0.16190476190476177</v>
      </c>
      <c r="H376" s="8">
        <f t="shared" si="12"/>
        <v>0.23393885688967653</v>
      </c>
      <c r="I376" s="4">
        <f t="shared" si="13"/>
        <v>1.9342603944742735E-2</v>
      </c>
      <c r="J376" s="4">
        <f t="shared" si="14"/>
        <v>3.4099999999999998E-2</v>
      </c>
    </row>
    <row r="377" spans="1:10" x14ac:dyDescent="0.3">
      <c r="A377" s="1">
        <v>37986</v>
      </c>
      <c r="B377" s="3">
        <v>22.7</v>
      </c>
      <c r="C377" s="3">
        <v>4.2530000000000001</v>
      </c>
      <c r="D377" s="3">
        <v>185.5</v>
      </c>
      <c r="E377" s="3">
        <v>45.52</v>
      </c>
      <c r="F377" s="3">
        <v>0.91</v>
      </c>
      <c r="G377" s="9">
        <f t="shared" si="15"/>
        <v>0.15856452023415635</v>
      </c>
      <c r="H377" s="8">
        <f t="shared" si="12"/>
        <v>0.22891036906854123</v>
      </c>
      <c r="I377" s="4">
        <f t="shared" si="13"/>
        <v>1.8506416204763496E-2</v>
      </c>
      <c r="J377" s="4">
        <f t="shared" si="14"/>
        <v>3.3430000000000001E-2</v>
      </c>
    </row>
    <row r="378" spans="1:10" x14ac:dyDescent="0.3">
      <c r="A378" s="1">
        <v>38016</v>
      </c>
      <c r="B378" s="3">
        <v>22.4</v>
      </c>
      <c r="C378" s="3">
        <v>4.1349999999999998</v>
      </c>
      <c r="D378" s="3">
        <v>186.3</v>
      </c>
      <c r="E378" s="3">
        <v>46.93</v>
      </c>
      <c r="F378" s="3">
        <v>0.9</v>
      </c>
      <c r="G378" s="9">
        <f t="shared" si="15"/>
        <v>0.18990872210953347</v>
      </c>
      <c r="H378" s="8">
        <f t="shared" si="12"/>
        <v>0.21819731515022389</v>
      </c>
      <c r="I378" s="4">
        <f t="shared" si="13"/>
        <v>1.6885643516214799E-2</v>
      </c>
      <c r="J378" s="4">
        <f t="shared" si="14"/>
        <v>3.2349999999999997E-2</v>
      </c>
    </row>
    <row r="379" spans="1:10" x14ac:dyDescent="0.3">
      <c r="A379" s="1">
        <v>38044</v>
      </c>
      <c r="B379" s="3">
        <v>21.9</v>
      </c>
      <c r="C379" s="3">
        <v>3.9780000000000002</v>
      </c>
      <c r="D379" s="3">
        <v>186.7</v>
      </c>
      <c r="E379" s="3">
        <v>48.83</v>
      </c>
      <c r="F379" s="3">
        <v>0.93</v>
      </c>
      <c r="G379" s="9">
        <f t="shared" si="15"/>
        <v>0.20836426627072502</v>
      </c>
      <c r="H379" s="8">
        <f t="shared" si="12"/>
        <v>0.19148064714314983</v>
      </c>
      <c r="I379" s="4">
        <f t="shared" si="13"/>
        <v>1.5375634820860538E-2</v>
      </c>
      <c r="J379" s="4">
        <f t="shared" si="14"/>
        <v>3.048E-2</v>
      </c>
    </row>
    <row r="380" spans="1:10" x14ac:dyDescent="0.3">
      <c r="A380" s="1">
        <v>38077</v>
      </c>
      <c r="B380" s="3">
        <v>21.7</v>
      </c>
      <c r="C380" s="3">
        <v>3.84</v>
      </c>
      <c r="D380" s="3">
        <v>187.1</v>
      </c>
      <c r="E380" s="3">
        <v>48.88</v>
      </c>
      <c r="F380" s="3">
        <v>0.92500000000000004</v>
      </c>
      <c r="G380" s="9">
        <f t="shared" si="15"/>
        <v>0.21260233192756139</v>
      </c>
      <c r="H380" s="8">
        <f t="shared" si="12"/>
        <v>0.18985270049099823</v>
      </c>
      <c r="I380" s="4">
        <f t="shared" si="13"/>
        <v>1.4055331242135656E-2</v>
      </c>
      <c r="J380" s="4">
        <f t="shared" si="14"/>
        <v>2.9149999999999999E-2</v>
      </c>
    </row>
    <row r="381" spans="1:10" x14ac:dyDescent="0.3">
      <c r="A381" s="1">
        <v>38107</v>
      </c>
      <c r="B381" s="3">
        <v>20.8</v>
      </c>
      <c r="C381" s="3">
        <v>4.5039999999999996</v>
      </c>
      <c r="D381" s="3">
        <v>187.4</v>
      </c>
      <c r="E381" s="3">
        <v>50.02</v>
      </c>
      <c r="F381" s="3">
        <v>0.95499999999999996</v>
      </c>
      <c r="G381" s="9">
        <f t="shared" si="15"/>
        <v>0.24365987071108908</v>
      </c>
      <c r="H381" s="8">
        <f t="shared" si="12"/>
        <v>0.17233106757297079</v>
      </c>
      <c r="I381" s="4">
        <f t="shared" si="13"/>
        <v>2.0600825162652187E-2</v>
      </c>
      <c r="J381" s="4">
        <f t="shared" si="14"/>
        <v>3.5489999999999994E-2</v>
      </c>
    </row>
    <row r="382" spans="1:10" x14ac:dyDescent="0.3">
      <c r="A382" s="1">
        <v>38138</v>
      </c>
      <c r="B382" s="3">
        <v>20.100000000000001</v>
      </c>
      <c r="C382" s="3">
        <v>4.657</v>
      </c>
      <c r="D382" s="3">
        <v>188.2</v>
      </c>
      <c r="E382" s="3">
        <v>52.15</v>
      </c>
      <c r="F382" s="3">
        <v>1.0549999999999999</v>
      </c>
      <c r="G382" s="9">
        <f t="shared" si="15"/>
        <v>0.23024298183533842</v>
      </c>
      <c r="H382" s="8">
        <f t="shared" si="12"/>
        <v>0.14170661553211894</v>
      </c>
      <c r="I382" s="4">
        <f t="shared" si="13"/>
        <v>2.1902976043433497E-2</v>
      </c>
      <c r="J382" s="4">
        <f t="shared" si="14"/>
        <v>3.6020000000000003E-2</v>
      </c>
    </row>
    <row r="383" spans="1:10" x14ac:dyDescent="0.3">
      <c r="A383" s="1">
        <v>38168</v>
      </c>
      <c r="B383" s="3">
        <v>20</v>
      </c>
      <c r="C383" s="3">
        <v>4.5990000000000002</v>
      </c>
      <c r="D383" s="3">
        <v>188.9</v>
      </c>
      <c r="E383" s="3">
        <v>53.27</v>
      </c>
      <c r="F383" s="3">
        <v>1.27</v>
      </c>
      <c r="G383" s="9">
        <f t="shared" si="15"/>
        <v>0.25577557755775571</v>
      </c>
      <c r="H383" s="8">
        <f t="shared" ref="H383:H446" si="16">G395</f>
        <v>0.11788999436831227</v>
      </c>
      <c r="I383" s="4">
        <f t="shared" ref="I383:I446" si="17">C383%-((D383/D263)^(1/10)-1)</f>
        <v>2.1220058092304123E-2</v>
      </c>
      <c r="J383" s="4">
        <f t="shared" ref="J383:J446" si="18">(C383-F383)%</f>
        <v>3.329E-2</v>
      </c>
    </row>
    <row r="384" spans="1:10" x14ac:dyDescent="0.3">
      <c r="A384" s="1">
        <v>38198</v>
      </c>
      <c r="B384" s="3">
        <v>19.2</v>
      </c>
      <c r="C384" s="3">
        <v>4.484</v>
      </c>
      <c r="D384" s="3">
        <v>189.1</v>
      </c>
      <c r="E384" s="3">
        <v>53.41</v>
      </c>
      <c r="F384" s="3">
        <v>1.415</v>
      </c>
      <c r="G384" s="9">
        <f t="shared" si="15"/>
        <v>0.25848256361922717</v>
      </c>
      <c r="H384" s="8">
        <f t="shared" si="16"/>
        <v>0.15708668788616365</v>
      </c>
      <c r="I384" s="4">
        <f t="shared" si="17"/>
        <v>2.0307445179470036E-2</v>
      </c>
      <c r="J384" s="4">
        <f t="shared" si="18"/>
        <v>3.0689999999999999E-2</v>
      </c>
    </row>
    <row r="385" spans="1:10" x14ac:dyDescent="0.3">
      <c r="A385" s="1">
        <v>38230</v>
      </c>
      <c r="B385" s="3">
        <v>19</v>
      </c>
      <c r="C385" s="3">
        <v>4.125</v>
      </c>
      <c r="D385" s="3">
        <v>189.2</v>
      </c>
      <c r="E385" s="3">
        <v>54.51</v>
      </c>
      <c r="F385" s="3">
        <v>1.575</v>
      </c>
      <c r="G385" s="9">
        <f t="shared" si="15"/>
        <v>0.25310344827586206</v>
      </c>
      <c r="H385" s="8">
        <f t="shared" si="16"/>
        <v>0.1458447991194276</v>
      </c>
      <c r="I385" s="4">
        <f t="shared" si="17"/>
        <v>1.7076613469797934E-2</v>
      </c>
      <c r="J385" s="4">
        <f t="shared" si="18"/>
        <v>2.5499999999999998E-2</v>
      </c>
    </row>
    <row r="386" spans="1:10" x14ac:dyDescent="0.3">
      <c r="A386" s="1">
        <v>38260</v>
      </c>
      <c r="B386" s="3">
        <v>19.100000000000001</v>
      </c>
      <c r="C386" s="3">
        <v>4.1230000000000002</v>
      </c>
      <c r="D386" s="3">
        <v>189.8</v>
      </c>
      <c r="E386" s="3">
        <v>54.55</v>
      </c>
      <c r="F386" s="3">
        <v>1.6850000000000001</v>
      </c>
      <c r="G386" s="9">
        <f t="shared" si="15"/>
        <v>0.25057313159101335</v>
      </c>
      <c r="H386" s="8">
        <f t="shared" si="16"/>
        <v>0.14610449129239234</v>
      </c>
      <c r="I386" s="4">
        <f t="shared" si="17"/>
        <v>1.6938331926820274E-2</v>
      </c>
      <c r="J386" s="4">
        <f t="shared" si="18"/>
        <v>2.4380000000000002E-2</v>
      </c>
    </row>
    <row r="387" spans="1:10" x14ac:dyDescent="0.3">
      <c r="A387" s="1">
        <v>38289</v>
      </c>
      <c r="B387" s="3">
        <v>19.2</v>
      </c>
      <c r="C387" s="3">
        <v>4.0289999999999999</v>
      </c>
      <c r="D387" s="3">
        <v>190.8</v>
      </c>
      <c r="E387" s="3">
        <v>54.65</v>
      </c>
      <c r="F387" s="3">
        <v>1.885</v>
      </c>
      <c r="G387" s="9">
        <f t="shared" si="15"/>
        <v>0.23642533936651566</v>
      </c>
      <c r="H387" s="8">
        <f t="shared" si="16"/>
        <v>0.16486733760292771</v>
      </c>
      <c r="I387" s="4">
        <f t="shared" si="17"/>
        <v>1.5528555293180819E-2</v>
      </c>
      <c r="J387" s="4">
        <f t="shared" si="18"/>
        <v>2.1440000000000001E-2</v>
      </c>
    </row>
    <row r="388" spans="1:10" x14ac:dyDescent="0.3">
      <c r="A388" s="1">
        <v>38321</v>
      </c>
      <c r="B388" s="3">
        <v>19.7</v>
      </c>
      <c r="C388" s="3">
        <v>4.3600000000000003</v>
      </c>
      <c r="D388" s="3">
        <v>191.7</v>
      </c>
      <c r="E388" s="3">
        <v>55.7</v>
      </c>
      <c r="F388" s="3">
        <v>2.1749999999999998</v>
      </c>
      <c r="G388" s="9">
        <f t="shared" si="15"/>
        <v>0.23393885688967653</v>
      </c>
      <c r="H388" s="8">
        <f t="shared" si="16"/>
        <v>0.14865350089766594</v>
      </c>
      <c r="I388" s="4">
        <f t="shared" si="17"/>
        <v>1.8630293113207547E-2</v>
      </c>
      <c r="J388" s="4">
        <f t="shared" si="18"/>
        <v>2.1850000000000005E-2</v>
      </c>
    </row>
    <row r="389" spans="1:10" x14ac:dyDescent="0.3">
      <c r="A389" s="1">
        <v>38352</v>
      </c>
      <c r="B389" s="3">
        <v>20.3</v>
      </c>
      <c r="C389" s="3">
        <v>4.2229999999999999</v>
      </c>
      <c r="D389" s="3">
        <v>191.7</v>
      </c>
      <c r="E389" s="3">
        <v>55.94</v>
      </c>
      <c r="F389" s="3">
        <v>2.1749999999999998</v>
      </c>
      <c r="G389" s="9">
        <f t="shared" si="15"/>
        <v>0.22891036906854123</v>
      </c>
      <c r="H389" s="8">
        <f t="shared" si="16"/>
        <v>0.14747944225956378</v>
      </c>
      <c r="I389" s="4">
        <f t="shared" si="17"/>
        <v>1.7465334965370179E-2</v>
      </c>
      <c r="J389" s="4">
        <f t="shared" si="18"/>
        <v>2.0480000000000002E-2</v>
      </c>
    </row>
    <row r="390" spans="1:10" x14ac:dyDescent="0.3">
      <c r="A390" s="1">
        <v>38383</v>
      </c>
      <c r="B390" s="3">
        <v>19.399999999999999</v>
      </c>
      <c r="C390" s="3">
        <v>4.13</v>
      </c>
      <c r="D390" s="3">
        <v>191.6</v>
      </c>
      <c r="E390" s="3">
        <v>57.17</v>
      </c>
      <c r="F390" s="3">
        <v>2.42</v>
      </c>
      <c r="G390" s="9">
        <f t="shared" si="15"/>
        <v>0.21819731515022389</v>
      </c>
      <c r="H390" s="8">
        <f t="shared" si="16"/>
        <v>0.12891376596116855</v>
      </c>
      <c r="I390" s="4">
        <f t="shared" si="17"/>
        <v>1.6861478976091797E-2</v>
      </c>
      <c r="J390" s="4">
        <f t="shared" si="18"/>
        <v>1.7100000000000001E-2</v>
      </c>
    </row>
    <row r="391" spans="1:10" x14ac:dyDescent="0.3">
      <c r="A391" s="1">
        <v>38411</v>
      </c>
      <c r="B391" s="3">
        <v>19.5</v>
      </c>
      <c r="C391" s="3">
        <v>4.3680000000000003</v>
      </c>
      <c r="D391" s="3">
        <v>192.4</v>
      </c>
      <c r="E391" s="3">
        <v>58.18</v>
      </c>
      <c r="F391" s="3">
        <v>2.6949999999999998</v>
      </c>
      <c r="G391" s="9">
        <f t="shared" si="15"/>
        <v>0.19148064714314983</v>
      </c>
      <c r="H391" s="8">
        <f t="shared" si="16"/>
        <v>0.12873839807493992</v>
      </c>
      <c r="I391" s="4">
        <f t="shared" si="17"/>
        <v>1.9086532088181292E-2</v>
      </c>
      <c r="J391" s="4">
        <f t="shared" si="18"/>
        <v>1.6730000000000005E-2</v>
      </c>
    </row>
    <row r="392" spans="1:10" x14ac:dyDescent="0.3">
      <c r="A392" s="1">
        <v>38442</v>
      </c>
      <c r="B392" s="3">
        <v>19.100000000000001</v>
      </c>
      <c r="C392" s="3">
        <v>4.4930000000000003</v>
      </c>
      <c r="D392" s="3">
        <v>193.1</v>
      </c>
      <c r="E392" s="3">
        <v>58.16</v>
      </c>
      <c r="F392" s="3">
        <v>2.7149999999999999</v>
      </c>
      <c r="G392" s="9">
        <f t="shared" si="15"/>
        <v>0.18985270049099823</v>
      </c>
      <c r="H392" s="8">
        <f t="shared" si="16"/>
        <v>0.13755158184319116</v>
      </c>
      <c r="I392" s="4">
        <f t="shared" si="17"/>
        <v>2.0167915906034485E-2</v>
      </c>
      <c r="J392" s="4">
        <f t="shared" si="18"/>
        <v>1.7780000000000004E-2</v>
      </c>
    </row>
    <row r="393" spans="1:10" x14ac:dyDescent="0.3">
      <c r="A393" s="1">
        <v>38471</v>
      </c>
      <c r="B393" s="3">
        <v>18.7</v>
      </c>
      <c r="C393" s="3">
        <v>4.1989999999999998</v>
      </c>
      <c r="D393" s="3">
        <v>193.7</v>
      </c>
      <c r="E393" s="3">
        <v>58.64</v>
      </c>
      <c r="F393" s="3">
        <v>2.83</v>
      </c>
      <c r="G393" s="9">
        <f t="shared" si="15"/>
        <v>0.17233106757297079</v>
      </c>
      <c r="H393" s="8">
        <f t="shared" si="16"/>
        <v>0.15859481582537516</v>
      </c>
      <c r="I393" s="4">
        <f t="shared" si="17"/>
        <v>1.7315838794689037E-2</v>
      </c>
      <c r="J393" s="4">
        <f t="shared" si="18"/>
        <v>1.3689999999999997E-2</v>
      </c>
    </row>
    <row r="394" spans="1:10" x14ac:dyDescent="0.3">
      <c r="A394" s="1">
        <v>38503</v>
      </c>
      <c r="B394" s="3">
        <v>19</v>
      </c>
      <c r="C394" s="3">
        <v>3.9860000000000002</v>
      </c>
      <c r="D394" s="3">
        <v>193.6</v>
      </c>
      <c r="E394" s="3">
        <v>59.54</v>
      </c>
      <c r="F394" s="3">
        <v>2.88</v>
      </c>
      <c r="G394" s="9">
        <f t="shared" si="15"/>
        <v>0.14170661553211894</v>
      </c>
      <c r="H394" s="8">
        <f t="shared" si="16"/>
        <v>0.16073228081961699</v>
      </c>
      <c r="I394" s="4">
        <f t="shared" si="17"/>
        <v>1.5441025667753731E-2</v>
      </c>
      <c r="J394" s="4">
        <f t="shared" si="18"/>
        <v>1.1060000000000004E-2</v>
      </c>
    </row>
    <row r="395" spans="1:10" x14ac:dyDescent="0.3">
      <c r="A395" s="1">
        <v>38533</v>
      </c>
      <c r="B395" s="3">
        <v>19</v>
      </c>
      <c r="C395" s="3">
        <v>3.919</v>
      </c>
      <c r="D395" s="3">
        <v>193.7</v>
      </c>
      <c r="E395" s="3">
        <v>59.55</v>
      </c>
      <c r="F395" s="3">
        <v>3.07</v>
      </c>
      <c r="G395" s="9">
        <f t="shared" ref="G395:G458" si="19">E395/E383-1</f>
        <v>0.11788999436831227</v>
      </c>
      <c r="H395" s="8">
        <f t="shared" si="16"/>
        <v>0.16859781696053755</v>
      </c>
      <c r="I395" s="4">
        <f t="shared" si="17"/>
        <v>1.491997031763409E-2</v>
      </c>
      <c r="J395" s="4">
        <f t="shared" si="18"/>
        <v>8.4900000000000028E-3</v>
      </c>
    </row>
    <row r="396" spans="1:10" x14ac:dyDescent="0.3">
      <c r="A396" s="1">
        <v>38562</v>
      </c>
      <c r="B396" s="3">
        <v>19</v>
      </c>
      <c r="C396" s="3">
        <v>4.282</v>
      </c>
      <c r="D396" s="3">
        <v>194.9</v>
      </c>
      <c r="E396" s="3">
        <v>61.8</v>
      </c>
      <c r="F396" s="3">
        <v>3.33</v>
      </c>
      <c r="G396" s="9">
        <f t="shared" si="19"/>
        <v>0.15708668788616365</v>
      </c>
      <c r="H396" s="8">
        <f t="shared" si="16"/>
        <v>0.15517799352750816</v>
      </c>
      <c r="I396" s="4">
        <f t="shared" si="17"/>
        <v>1.8051586753557475E-2</v>
      </c>
      <c r="J396" s="4">
        <f t="shared" si="18"/>
        <v>9.5199999999999989E-3</v>
      </c>
    </row>
    <row r="397" spans="1:10" x14ac:dyDescent="0.3">
      <c r="A397" s="1">
        <v>38595</v>
      </c>
      <c r="B397" s="3">
        <v>18.600000000000001</v>
      </c>
      <c r="C397" s="3">
        <v>4.0149999999999997</v>
      </c>
      <c r="D397" s="3">
        <v>196.1</v>
      </c>
      <c r="E397" s="3">
        <v>62.46</v>
      </c>
      <c r="F397" s="3">
        <v>3.45</v>
      </c>
      <c r="G397" s="9">
        <f t="shared" si="19"/>
        <v>0.1458447991194276</v>
      </c>
      <c r="H397" s="8">
        <f t="shared" si="16"/>
        <v>0.14809478065962201</v>
      </c>
      <c r="I397" s="4">
        <f t="shared" si="17"/>
        <v>1.4953745541930942E-2</v>
      </c>
      <c r="J397" s="4">
        <f t="shared" si="18"/>
        <v>5.6499999999999953E-3</v>
      </c>
    </row>
    <row r="398" spans="1:10" x14ac:dyDescent="0.3">
      <c r="A398" s="1">
        <v>38625</v>
      </c>
      <c r="B398" s="3">
        <v>18.7</v>
      </c>
      <c r="C398" s="3">
        <v>4.33</v>
      </c>
      <c r="D398" s="3">
        <v>198.8</v>
      </c>
      <c r="E398" s="3">
        <v>62.52</v>
      </c>
      <c r="F398" s="3">
        <v>3.47</v>
      </c>
      <c r="G398" s="9">
        <f t="shared" si="19"/>
        <v>0.14610449129239234</v>
      </c>
      <c r="H398" s="8">
        <f t="shared" si="16"/>
        <v>0.15067178502879064</v>
      </c>
      <c r="I398" s="4">
        <f t="shared" si="17"/>
        <v>1.6835062917624703E-2</v>
      </c>
      <c r="J398" s="4">
        <f t="shared" si="18"/>
        <v>8.5999999999999983E-3</v>
      </c>
    </row>
    <row r="399" spans="1:10" x14ac:dyDescent="0.3">
      <c r="A399" s="1">
        <v>38656</v>
      </c>
      <c r="B399" s="3">
        <v>18.100000000000001</v>
      </c>
      <c r="C399" s="3">
        <v>4.5620000000000003</v>
      </c>
      <c r="D399" s="3">
        <v>199.1</v>
      </c>
      <c r="E399" s="3">
        <v>63.66</v>
      </c>
      <c r="F399" s="3">
        <v>3.8050000000000002</v>
      </c>
      <c r="G399" s="9">
        <f t="shared" si="19"/>
        <v>0.16486733760292771</v>
      </c>
      <c r="H399" s="8">
        <f t="shared" si="16"/>
        <v>0.1497015394282124</v>
      </c>
      <c r="I399" s="4">
        <f t="shared" si="17"/>
        <v>1.9268106153381266E-2</v>
      </c>
      <c r="J399" s="4">
        <f t="shared" si="18"/>
        <v>7.5700000000000012E-3</v>
      </c>
    </row>
    <row r="400" spans="1:10" x14ac:dyDescent="0.3">
      <c r="A400" s="1">
        <v>38686</v>
      </c>
      <c r="B400" s="3">
        <v>18.600000000000001</v>
      </c>
      <c r="C400" s="3">
        <v>4.4960000000000004</v>
      </c>
      <c r="D400" s="3">
        <v>198.1</v>
      </c>
      <c r="E400" s="3">
        <v>63.98</v>
      </c>
      <c r="F400" s="3">
        <v>3.86</v>
      </c>
      <c r="G400" s="9">
        <f t="shared" si="19"/>
        <v>0.14865350089766594</v>
      </c>
      <c r="H400" s="8">
        <f t="shared" si="16"/>
        <v>0.16176930290715852</v>
      </c>
      <c r="I400" s="4">
        <f t="shared" si="17"/>
        <v>1.9258334277471596E-2</v>
      </c>
      <c r="J400" s="4">
        <f t="shared" si="18"/>
        <v>6.3600000000000054E-3</v>
      </c>
    </row>
    <row r="401" spans="1:10" x14ac:dyDescent="0.3">
      <c r="A401" s="1">
        <v>38716</v>
      </c>
      <c r="B401" s="3">
        <v>18.5</v>
      </c>
      <c r="C401" s="3">
        <v>4.3949999999999996</v>
      </c>
      <c r="D401" s="3">
        <v>198.1</v>
      </c>
      <c r="E401" s="3">
        <v>64.19</v>
      </c>
      <c r="F401" s="3">
        <v>3.98</v>
      </c>
      <c r="G401" s="9">
        <f t="shared" si="19"/>
        <v>0.14747944225956378</v>
      </c>
      <c r="H401" s="8">
        <f t="shared" si="16"/>
        <v>0.16077270602897653</v>
      </c>
      <c r="I401" s="4">
        <f t="shared" si="17"/>
        <v>1.8381706855172437E-2</v>
      </c>
      <c r="J401" s="4">
        <f t="shared" si="18"/>
        <v>4.1499999999999957E-3</v>
      </c>
    </row>
    <row r="402" spans="1:10" x14ac:dyDescent="0.3">
      <c r="A402" s="1">
        <v>38748</v>
      </c>
      <c r="B402" s="3">
        <v>18.899999999999999</v>
      </c>
      <c r="C402" s="3">
        <v>4.5250000000000004</v>
      </c>
      <c r="D402" s="3">
        <v>199.3</v>
      </c>
      <c r="E402" s="3">
        <v>64.540000000000006</v>
      </c>
      <c r="F402" s="3">
        <v>4.3600000000000003</v>
      </c>
      <c r="G402" s="9">
        <f t="shared" si="19"/>
        <v>0.12891376596116855</v>
      </c>
      <c r="H402" s="8">
        <f t="shared" si="16"/>
        <v>0.16485900216919736</v>
      </c>
      <c r="I402" s="4">
        <f t="shared" si="17"/>
        <v>1.9594062476538936E-2</v>
      </c>
      <c r="J402" s="4">
        <f t="shared" si="18"/>
        <v>1.6500000000000004E-3</v>
      </c>
    </row>
    <row r="403" spans="1:10" x14ac:dyDescent="0.3">
      <c r="A403" s="1">
        <v>38776</v>
      </c>
      <c r="B403" s="3">
        <v>18.600000000000001</v>
      </c>
      <c r="C403" s="3">
        <v>4.5490000000000004</v>
      </c>
      <c r="D403" s="3">
        <v>199.4</v>
      </c>
      <c r="E403" s="3">
        <v>65.67</v>
      </c>
      <c r="F403" s="3">
        <v>4.5</v>
      </c>
      <c r="G403" s="9">
        <f t="shared" si="19"/>
        <v>0.12873839807493992</v>
      </c>
      <c r="H403" s="8">
        <f t="shared" si="16"/>
        <v>0.16293589157910771</v>
      </c>
      <c r="I403" s="4">
        <f t="shared" si="17"/>
        <v>1.9981308306586704E-2</v>
      </c>
      <c r="J403" s="4">
        <f t="shared" si="18"/>
        <v>4.9000000000000378E-4</v>
      </c>
    </row>
    <row r="404" spans="1:10" x14ac:dyDescent="0.3">
      <c r="A404" s="1">
        <v>38807</v>
      </c>
      <c r="B404" s="3">
        <v>18.7</v>
      </c>
      <c r="C404" s="3">
        <v>4.8529999999999998</v>
      </c>
      <c r="D404" s="3">
        <v>199.7</v>
      </c>
      <c r="E404" s="3">
        <v>66.16</v>
      </c>
      <c r="F404" s="3">
        <v>4.5</v>
      </c>
      <c r="G404" s="9">
        <f t="shared" si="19"/>
        <v>0.13755158184319116</v>
      </c>
      <c r="H404" s="8">
        <f t="shared" si="16"/>
        <v>0.16308948004836776</v>
      </c>
      <c r="I404" s="4">
        <f t="shared" si="17"/>
        <v>2.319739680118741E-2</v>
      </c>
      <c r="J404" s="4">
        <f t="shared" si="18"/>
        <v>3.5299999999999975E-3</v>
      </c>
    </row>
    <row r="405" spans="1:10" x14ac:dyDescent="0.3">
      <c r="A405" s="1">
        <v>38835</v>
      </c>
      <c r="B405" s="3">
        <v>18.399999999999999</v>
      </c>
      <c r="C405" s="3">
        <v>5.0670000000000002</v>
      </c>
      <c r="D405" s="3">
        <v>200.7</v>
      </c>
      <c r="E405" s="3">
        <v>67.94</v>
      </c>
      <c r="F405" s="3">
        <v>4.6399999999999997</v>
      </c>
      <c r="G405" s="9">
        <f t="shared" si="19"/>
        <v>0.15859481582537516</v>
      </c>
      <c r="H405" s="8">
        <f t="shared" si="16"/>
        <v>0.13614954371504262</v>
      </c>
      <c r="I405" s="4">
        <f t="shared" si="17"/>
        <v>2.5220100298761323E-2</v>
      </c>
      <c r="J405" s="4">
        <f t="shared" si="18"/>
        <v>4.2700000000000047E-3</v>
      </c>
    </row>
    <row r="406" spans="1:10" x14ac:dyDescent="0.3">
      <c r="A406" s="1">
        <v>38868</v>
      </c>
      <c r="B406" s="3">
        <v>17.5</v>
      </c>
      <c r="C406" s="3">
        <v>5.1159999999999997</v>
      </c>
      <c r="D406" s="3">
        <v>201.3</v>
      </c>
      <c r="E406" s="3">
        <v>69.11</v>
      </c>
      <c r="F406" s="3">
        <v>4.71</v>
      </c>
      <c r="G406" s="9">
        <f t="shared" si="19"/>
        <v>0.16073228081961699</v>
      </c>
      <c r="H406" s="8">
        <f t="shared" si="16"/>
        <v>0.15612791202430909</v>
      </c>
      <c r="I406" s="4">
        <f t="shared" si="17"/>
        <v>2.5600876248521712E-2</v>
      </c>
      <c r="J406" s="4">
        <f t="shared" si="18"/>
        <v>4.0599999999999968E-3</v>
      </c>
    </row>
    <row r="407" spans="1:10" x14ac:dyDescent="0.3">
      <c r="A407" s="1">
        <v>38898</v>
      </c>
      <c r="B407" s="3">
        <v>17.5</v>
      </c>
      <c r="C407" s="3">
        <v>5.14</v>
      </c>
      <c r="D407" s="3">
        <v>201.8</v>
      </c>
      <c r="E407" s="3">
        <v>69.59</v>
      </c>
      <c r="F407" s="3">
        <v>4.87</v>
      </c>
      <c r="G407" s="9">
        <f t="shared" si="19"/>
        <v>0.16859781696053755</v>
      </c>
      <c r="H407" s="8">
        <f t="shared" si="16"/>
        <v>0.14872826555539587</v>
      </c>
      <c r="I407" s="4">
        <f t="shared" si="17"/>
        <v>2.578298651741006E-2</v>
      </c>
      <c r="J407" s="4">
        <f t="shared" si="18"/>
        <v>2.6999999999999958E-3</v>
      </c>
    </row>
    <row r="408" spans="1:10" x14ac:dyDescent="0.3">
      <c r="A408" s="1">
        <v>38929</v>
      </c>
      <c r="B408" s="3">
        <v>17.100000000000001</v>
      </c>
      <c r="C408" s="3">
        <v>4.9909999999999997</v>
      </c>
      <c r="D408" s="3">
        <v>202.9</v>
      </c>
      <c r="E408" s="3">
        <v>71.39</v>
      </c>
      <c r="F408" s="3">
        <v>4.9450000000000003</v>
      </c>
      <c r="G408" s="9">
        <f t="shared" si="19"/>
        <v>0.15517799352750816</v>
      </c>
      <c r="H408" s="8">
        <f t="shared" si="16"/>
        <v>0.12914974086006437</v>
      </c>
      <c r="I408" s="4">
        <f t="shared" si="17"/>
        <v>2.3931548441550196E-2</v>
      </c>
      <c r="J408" s="4">
        <f t="shared" si="18"/>
        <v>4.5999999999999373E-4</v>
      </c>
    </row>
    <row r="409" spans="1:10" x14ac:dyDescent="0.3">
      <c r="A409" s="1">
        <v>38960</v>
      </c>
      <c r="B409" s="3">
        <v>17.399999999999999</v>
      </c>
      <c r="C409" s="3">
        <v>4.7320000000000002</v>
      </c>
      <c r="D409" s="3">
        <v>203.8</v>
      </c>
      <c r="E409" s="3">
        <v>71.709999999999994</v>
      </c>
      <c r="F409" s="3">
        <v>4.93</v>
      </c>
      <c r="G409" s="9">
        <f t="shared" si="19"/>
        <v>0.14809478065962201</v>
      </c>
      <c r="H409" s="8">
        <f t="shared" si="16"/>
        <v>0.16552782038767266</v>
      </c>
      <c r="I409" s="4">
        <f t="shared" si="17"/>
        <v>2.1018027028905067E-2</v>
      </c>
      <c r="J409" s="4">
        <f t="shared" si="18"/>
        <v>-1.9799999999999952E-3</v>
      </c>
    </row>
    <row r="410" spans="1:10" x14ac:dyDescent="0.3">
      <c r="A410" s="1">
        <v>38989</v>
      </c>
      <c r="B410" s="3">
        <v>17.7</v>
      </c>
      <c r="C410" s="3">
        <v>4.6340000000000003</v>
      </c>
      <c r="D410" s="3">
        <v>202.8</v>
      </c>
      <c r="E410" s="3">
        <v>71.94</v>
      </c>
      <c r="F410" s="3">
        <v>4.7699999999999996</v>
      </c>
      <c r="G410" s="9">
        <f t="shared" si="19"/>
        <v>0.15067178502879064</v>
      </c>
      <c r="H410" s="8">
        <f t="shared" si="16"/>
        <v>0.1640255768696135</v>
      </c>
      <c r="I410" s="4">
        <f t="shared" si="17"/>
        <v>2.0868427240745738E-2</v>
      </c>
      <c r="J410" s="4">
        <f t="shared" si="18"/>
        <v>-1.3599999999999923E-3</v>
      </c>
    </row>
    <row r="411" spans="1:10" x14ac:dyDescent="0.3">
      <c r="A411" s="1">
        <v>39021</v>
      </c>
      <c r="B411" s="3">
        <v>18</v>
      </c>
      <c r="C411" s="3">
        <v>4.6070000000000002</v>
      </c>
      <c r="D411" s="3">
        <v>201.9</v>
      </c>
      <c r="E411" s="3">
        <v>73.19</v>
      </c>
      <c r="F411" s="3">
        <v>4.9349999999999996</v>
      </c>
      <c r="G411" s="9">
        <f t="shared" si="19"/>
        <v>0.1497015394282124</v>
      </c>
      <c r="H411" s="8">
        <f t="shared" si="16"/>
        <v>0.138953408935647</v>
      </c>
      <c r="I411" s="4">
        <f t="shared" si="17"/>
        <v>2.1378853190444136E-2</v>
      </c>
      <c r="J411" s="4">
        <f t="shared" si="18"/>
        <v>-3.2799999999999939E-3</v>
      </c>
    </row>
    <row r="412" spans="1:10" x14ac:dyDescent="0.3">
      <c r="A412" s="1">
        <v>39051</v>
      </c>
      <c r="B412" s="3">
        <v>18.100000000000001</v>
      </c>
      <c r="C412" s="3">
        <v>4.46</v>
      </c>
      <c r="D412" s="3">
        <v>202</v>
      </c>
      <c r="E412" s="3">
        <v>74.33</v>
      </c>
      <c r="F412" s="3">
        <v>4.9000000000000004</v>
      </c>
      <c r="G412" s="9">
        <f t="shared" si="19"/>
        <v>0.16176930290715852</v>
      </c>
      <c r="H412" s="8">
        <f t="shared" si="16"/>
        <v>6.6191309027310741E-2</v>
      </c>
      <c r="I412" s="4">
        <f t="shared" si="17"/>
        <v>2.0181425775853717E-2</v>
      </c>
      <c r="J412" s="4">
        <f t="shared" si="18"/>
        <v>-4.4000000000000037E-3</v>
      </c>
    </row>
    <row r="413" spans="1:10" x14ac:dyDescent="0.3">
      <c r="A413" s="1">
        <v>39080</v>
      </c>
      <c r="B413" s="3">
        <v>18.2</v>
      </c>
      <c r="C413" s="3">
        <v>4.7039999999999997</v>
      </c>
      <c r="D413" s="3">
        <v>203.1</v>
      </c>
      <c r="E413" s="3">
        <v>74.510000000000005</v>
      </c>
      <c r="F413" s="3">
        <v>4.88</v>
      </c>
      <c r="G413" s="9">
        <f t="shared" si="19"/>
        <v>0.16077270602897653</v>
      </c>
      <c r="H413" s="8">
        <f t="shared" si="16"/>
        <v>5.5563011676285079E-2</v>
      </c>
      <c r="I413" s="4">
        <f t="shared" si="17"/>
        <v>2.2322921694390124E-2</v>
      </c>
      <c r="J413" s="4">
        <f t="shared" si="18"/>
        <v>-1.7600000000000016E-3</v>
      </c>
    </row>
    <row r="414" spans="1:10" x14ac:dyDescent="0.3">
      <c r="A414" s="1">
        <v>39113</v>
      </c>
      <c r="B414" s="3">
        <v>18.5</v>
      </c>
      <c r="C414" s="3">
        <v>4.8209999999999997</v>
      </c>
      <c r="D414" s="3">
        <v>203.43700000000001</v>
      </c>
      <c r="E414" s="3">
        <v>75.180000000000007</v>
      </c>
      <c r="F414" s="3">
        <v>4.99</v>
      </c>
      <c r="G414" s="9">
        <f t="shared" si="19"/>
        <v>0.16485900216919736</v>
      </c>
      <c r="H414" s="8">
        <f t="shared" si="16"/>
        <v>1.6094706038840112E-2</v>
      </c>
      <c r="I414" s="4">
        <f t="shared" si="17"/>
        <v>2.3516072348970816E-2</v>
      </c>
      <c r="J414" s="4">
        <f t="shared" si="18"/>
        <v>-1.6900000000000049E-3</v>
      </c>
    </row>
    <row r="415" spans="1:10" x14ac:dyDescent="0.3">
      <c r="A415" s="1">
        <v>39141</v>
      </c>
      <c r="B415" s="3">
        <v>17.8</v>
      </c>
      <c r="C415" s="3">
        <v>4.5540000000000003</v>
      </c>
      <c r="D415" s="3">
        <v>204.226</v>
      </c>
      <c r="E415" s="3">
        <v>76.37</v>
      </c>
      <c r="F415" s="3">
        <v>5.01</v>
      </c>
      <c r="G415" s="9">
        <f t="shared" si="19"/>
        <v>0.16293589157910771</v>
      </c>
      <c r="H415" s="8">
        <f t="shared" si="16"/>
        <v>5.2376587665312613E-3</v>
      </c>
      <c r="I415" s="4">
        <f t="shared" si="17"/>
        <v>2.0642080544750564E-2</v>
      </c>
      <c r="J415" s="4">
        <f t="shared" si="18"/>
        <v>-4.5599999999999955E-3</v>
      </c>
    </row>
    <row r="416" spans="1:10" x14ac:dyDescent="0.3">
      <c r="A416" s="1">
        <v>39171</v>
      </c>
      <c r="B416" s="3">
        <v>17.899999999999999</v>
      </c>
      <c r="C416" s="3">
        <v>4.6520000000000001</v>
      </c>
      <c r="D416" s="3">
        <v>205.28800000000001</v>
      </c>
      <c r="E416" s="3">
        <v>76.95</v>
      </c>
      <c r="F416" s="3">
        <v>4.915</v>
      </c>
      <c r="G416" s="9">
        <f t="shared" si="19"/>
        <v>0.16308948004836776</v>
      </c>
      <c r="H416" s="8">
        <f t="shared" si="16"/>
        <v>-2.0792722547108289E-3</v>
      </c>
      <c r="I416" s="4">
        <f t="shared" si="17"/>
        <v>2.1154551884579369E-2</v>
      </c>
      <c r="J416" s="4">
        <f t="shared" si="18"/>
        <v>-2.6299999999999991E-3</v>
      </c>
    </row>
    <row r="417" spans="1:10" x14ac:dyDescent="0.3">
      <c r="A417" s="1">
        <v>39202</v>
      </c>
      <c r="B417" s="3">
        <v>18.5</v>
      </c>
      <c r="C417" s="3">
        <v>4.6269999999999998</v>
      </c>
      <c r="D417" s="3">
        <v>205.904</v>
      </c>
      <c r="E417" s="3">
        <v>77.19</v>
      </c>
      <c r="F417" s="3">
        <v>4.72</v>
      </c>
      <c r="G417" s="9">
        <f t="shared" si="19"/>
        <v>0.13614954371504262</v>
      </c>
      <c r="H417" s="8">
        <f t="shared" si="16"/>
        <v>-2.085762404456537E-2</v>
      </c>
      <c r="I417" s="4">
        <f t="shared" si="17"/>
        <v>2.0661451683887853E-2</v>
      </c>
      <c r="J417" s="4">
        <f t="shared" si="18"/>
        <v>-9.2999999999999973E-4</v>
      </c>
    </row>
    <row r="418" spans="1:10" x14ac:dyDescent="0.3">
      <c r="A418" s="1">
        <v>39233</v>
      </c>
      <c r="B418" s="3">
        <v>18.399999999999999</v>
      </c>
      <c r="C418" s="3">
        <v>4.8920000000000003</v>
      </c>
      <c r="D418" s="3">
        <v>206.755</v>
      </c>
      <c r="E418" s="3">
        <v>79.900000000000006</v>
      </c>
      <c r="F418" s="3">
        <v>4.62</v>
      </c>
      <c r="G418" s="9">
        <f t="shared" si="19"/>
        <v>0.15612791202430909</v>
      </c>
      <c r="H418" s="8">
        <f t="shared" si="16"/>
        <v>-6.7083854818523192E-2</v>
      </c>
      <c r="I418" s="4">
        <f t="shared" si="17"/>
        <v>2.2888354585513346E-2</v>
      </c>
      <c r="J418" s="4">
        <f t="shared" si="18"/>
        <v>2.7200000000000024E-3</v>
      </c>
    </row>
    <row r="419" spans="1:10" x14ac:dyDescent="0.3">
      <c r="A419" s="1">
        <v>39262</v>
      </c>
      <c r="B419" s="3">
        <v>18.100000000000001</v>
      </c>
      <c r="C419" s="3">
        <v>5.0279999999999996</v>
      </c>
      <c r="D419" s="3">
        <v>207.23400000000001</v>
      </c>
      <c r="E419" s="3">
        <v>79.94</v>
      </c>
      <c r="F419" s="3">
        <v>4.6749999999999998</v>
      </c>
      <c r="G419" s="9">
        <f t="shared" si="19"/>
        <v>0.14872826555539587</v>
      </c>
      <c r="H419" s="8">
        <f t="shared" si="16"/>
        <v>-6.8926695021265805E-2</v>
      </c>
      <c r="I419" s="4">
        <f t="shared" si="17"/>
        <v>2.4203243354820166E-2</v>
      </c>
      <c r="J419" s="4">
        <f t="shared" si="18"/>
        <v>3.5299999999999975E-3</v>
      </c>
    </row>
    <row r="420" spans="1:10" x14ac:dyDescent="0.3">
      <c r="A420" s="1">
        <v>39294</v>
      </c>
      <c r="B420" s="3">
        <v>17.399999999999999</v>
      </c>
      <c r="C420" s="3">
        <v>4.7380000000000004</v>
      </c>
      <c r="D420" s="3">
        <v>207.60300000000001</v>
      </c>
      <c r="E420" s="3">
        <v>80.61</v>
      </c>
      <c r="F420" s="3">
        <v>4.82</v>
      </c>
      <c r="G420" s="9">
        <f t="shared" si="19"/>
        <v>0.12914974086006437</v>
      </c>
      <c r="H420" s="8">
        <f t="shared" si="16"/>
        <v>-7.3812182111400615E-2</v>
      </c>
      <c r="I420" s="4">
        <f t="shared" si="17"/>
        <v>2.1248721146641697E-2</v>
      </c>
      <c r="J420" s="4">
        <f t="shared" si="18"/>
        <v>-8.1999999999999846E-4</v>
      </c>
    </row>
    <row r="421" spans="1:10" x14ac:dyDescent="0.3">
      <c r="A421" s="1">
        <v>39325</v>
      </c>
      <c r="B421" s="3">
        <v>17</v>
      </c>
      <c r="C421" s="3">
        <v>4.532</v>
      </c>
      <c r="D421" s="3">
        <v>207.667</v>
      </c>
      <c r="E421" s="3">
        <v>83.58</v>
      </c>
      <c r="F421" s="3">
        <v>5</v>
      </c>
      <c r="G421" s="9">
        <f t="shared" si="19"/>
        <v>0.16552782038767266</v>
      </c>
      <c r="H421" s="8">
        <f t="shared" si="16"/>
        <v>-9.6434553720985861E-2</v>
      </c>
      <c r="I421" s="4">
        <f t="shared" si="17"/>
        <v>1.9412642486133141E-2</v>
      </c>
      <c r="J421" s="4">
        <f t="shared" si="18"/>
        <v>-4.6800000000000001E-3</v>
      </c>
    </row>
    <row r="422" spans="1:10" x14ac:dyDescent="0.3">
      <c r="A422" s="1">
        <v>39353</v>
      </c>
      <c r="B422" s="3">
        <v>17.600000000000001</v>
      </c>
      <c r="C422" s="3">
        <v>4.5869999999999997</v>
      </c>
      <c r="D422" s="3">
        <v>208.547</v>
      </c>
      <c r="E422" s="3">
        <v>83.74</v>
      </c>
      <c r="F422" s="3">
        <v>3.6949999999999998</v>
      </c>
      <c r="G422" s="9">
        <f t="shared" si="19"/>
        <v>0.1640255768696135</v>
      </c>
      <c r="H422" s="8">
        <f t="shared" si="16"/>
        <v>-0.10031048483400995</v>
      </c>
      <c r="I422" s="4">
        <f t="shared" si="17"/>
        <v>1.978369561754581E-2</v>
      </c>
      <c r="J422" s="4">
        <f t="shared" si="18"/>
        <v>8.9199999999999991E-3</v>
      </c>
    </row>
    <row r="423" spans="1:10" x14ac:dyDescent="0.3">
      <c r="A423" s="1">
        <v>39386</v>
      </c>
      <c r="B423" s="3">
        <v>18.100000000000001</v>
      </c>
      <c r="C423" s="3">
        <v>4.4729999999999999</v>
      </c>
      <c r="D423" s="3">
        <v>209.19</v>
      </c>
      <c r="E423" s="3">
        <v>83.36</v>
      </c>
      <c r="F423" s="3">
        <v>3.82</v>
      </c>
      <c r="G423" s="9">
        <f t="shared" si="19"/>
        <v>0.138953408935647</v>
      </c>
      <c r="H423" s="8">
        <f t="shared" si="16"/>
        <v>-0.11024472168905952</v>
      </c>
      <c r="I423" s="4">
        <f t="shared" si="17"/>
        <v>1.8518589415467197E-2</v>
      </c>
      <c r="J423" s="4">
        <f t="shared" si="18"/>
        <v>6.5300000000000002E-3</v>
      </c>
    </row>
    <row r="424" spans="1:10" x14ac:dyDescent="0.3">
      <c r="A424" s="1">
        <v>39416</v>
      </c>
      <c r="B424" s="3">
        <v>18.2</v>
      </c>
      <c r="C424" s="3">
        <v>3.9590000000000001</v>
      </c>
      <c r="D424" s="3">
        <v>210.834</v>
      </c>
      <c r="E424" s="3">
        <v>79.25</v>
      </c>
      <c r="F424" s="3">
        <v>3.09</v>
      </c>
      <c r="G424" s="9">
        <f t="shared" si="19"/>
        <v>6.6191309027310741E-2</v>
      </c>
      <c r="H424" s="8">
        <f t="shared" si="16"/>
        <v>-5.022082018927454E-2</v>
      </c>
      <c r="I424" s="4">
        <f t="shared" si="17"/>
        <v>1.2702037746238334E-2</v>
      </c>
      <c r="J424" s="4">
        <f t="shared" si="18"/>
        <v>8.6900000000000015E-3</v>
      </c>
    </row>
    <row r="425" spans="1:10" x14ac:dyDescent="0.3">
      <c r="A425" s="1">
        <v>39447</v>
      </c>
      <c r="B425" s="3">
        <v>18.2</v>
      </c>
      <c r="C425" s="3">
        <v>4.032</v>
      </c>
      <c r="D425" s="3">
        <v>211.44499999999999</v>
      </c>
      <c r="E425" s="3">
        <v>78.650000000000006</v>
      </c>
      <c r="F425" s="3">
        <v>3.31</v>
      </c>
      <c r="G425" s="9">
        <f t="shared" si="19"/>
        <v>5.5563011676285079E-2</v>
      </c>
      <c r="H425" s="8">
        <f t="shared" si="16"/>
        <v>-4.9841068022886237E-2</v>
      </c>
      <c r="I425" s="4">
        <f t="shared" si="17"/>
        <v>1.3198334035117033E-2</v>
      </c>
      <c r="J425" s="4">
        <f t="shared" si="18"/>
        <v>7.2199999999999999E-3</v>
      </c>
    </row>
    <row r="426" spans="1:10" x14ac:dyDescent="0.3">
      <c r="A426" s="1">
        <v>39478</v>
      </c>
      <c r="B426" s="3">
        <v>17.600000000000001</v>
      </c>
      <c r="C426" s="3">
        <v>3.6190000000000002</v>
      </c>
      <c r="D426" s="3">
        <v>212.17400000000001</v>
      </c>
      <c r="E426" s="3">
        <v>76.39</v>
      </c>
      <c r="F426" s="3">
        <v>1.895</v>
      </c>
      <c r="G426" s="9">
        <f t="shared" si="19"/>
        <v>1.6094706038840112E-2</v>
      </c>
      <c r="H426" s="8">
        <f t="shared" si="16"/>
        <v>-9.1504123576384266E-2</v>
      </c>
      <c r="I426" s="4">
        <f t="shared" si="17"/>
        <v>8.8416803093994134E-3</v>
      </c>
      <c r="J426" s="4">
        <f t="shared" si="18"/>
        <v>1.7240000000000002E-2</v>
      </c>
    </row>
    <row r="427" spans="1:10" x14ac:dyDescent="0.3">
      <c r="A427" s="1">
        <v>39507</v>
      </c>
      <c r="B427" s="3">
        <v>17</v>
      </c>
      <c r="C427" s="3">
        <v>3.524</v>
      </c>
      <c r="D427" s="3">
        <v>212.68700000000001</v>
      </c>
      <c r="E427" s="3">
        <v>76.77</v>
      </c>
      <c r="F427" s="3">
        <v>1.7949999999999999</v>
      </c>
      <c r="G427" s="9">
        <f t="shared" si="19"/>
        <v>5.2376587665312613E-3</v>
      </c>
      <c r="H427" s="8">
        <f t="shared" si="16"/>
        <v>-0.14810472840953481</v>
      </c>
      <c r="I427" s="4">
        <f t="shared" si="17"/>
        <v>7.6435551175322927E-3</v>
      </c>
      <c r="J427" s="4">
        <f t="shared" si="18"/>
        <v>1.729E-2</v>
      </c>
    </row>
    <row r="428" spans="1:10" x14ac:dyDescent="0.3">
      <c r="A428" s="1">
        <v>39538</v>
      </c>
      <c r="B428" s="3">
        <v>16.899999999999999</v>
      </c>
      <c r="C428" s="3">
        <v>3.411</v>
      </c>
      <c r="D428" s="3">
        <v>213.44800000000001</v>
      </c>
      <c r="E428" s="3">
        <v>76.790000000000006</v>
      </c>
      <c r="F428" s="3">
        <v>1.3149999999999999</v>
      </c>
      <c r="G428" s="9">
        <f t="shared" si="19"/>
        <v>-2.0792722547108289E-3</v>
      </c>
      <c r="H428" s="8">
        <f t="shared" si="16"/>
        <v>-0.15718192472978265</v>
      </c>
      <c r="I428" s="4">
        <f t="shared" si="17"/>
        <v>6.146468915273845E-3</v>
      </c>
      <c r="J428" s="4">
        <f t="shared" si="18"/>
        <v>2.0959999999999999E-2</v>
      </c>
    </row>
    <row r="429" spans="1:10" x14ac:dyDescent="0.3">
      <c r="A429" s="1">
        <v>39568</v>
      </c>
      <c r="B429" s="3">
        <v>17.899999999999999</v>
      </c>
      <c r="C429" s="3">
        <v>3.734</v>
      </c>
      <c r="D429" s="3">
        <v>213.94200000000001</v>
      </c>
      <c r="E429" s="3">
        <v>75.58</v>
      </c>
      <c r="F429" s="3">
        <v>1.32</v>
      </c>
      <c r="G429" s="9">
        <f t="shared" si="19"/>
        <v>-2.085762404456537E-2</v>
      </c>
      <c r="H429" s="8">
        <f t="shared" si="16"/>
        <v>-0.16525535856046569</v>
      </c>
      <c r="I429" s="4">
        <f t="shared" si="17"/>
        <v>9.2656587011435559E-3</v>
      </c>
      <c r="J429" s="4">
        <f t="shared" si="18"/>
        <v>2.4139999999999998E-2</v>
      </c>
    </row>
    <row r="430" spans="1:10" x14ac:dyDescent="0.3">
      <c r="A430" s="1">
        <v>39598</v>
      </c>
      <c r="B430" s="3">
        <v>18.5</v>
      </c>
      <c r="C430" s="3">
        <v>4.0650000000000004</v>
      </c>
      <c r="D430" s="3">
        <v>215.208</v>
      </c>
      <c r="E430" s="3">
        <v>74.540000000000006</v>
      </c>
      <c r="F430" s="3">
        <v>1.875</v>
      </c>
      <c r="G430" s="9">
        <f t="shared" si="19"/>
        <v>-6.7083854818523192E-2</v>
      </c>
      <c r="H430" s="8">
        <f t="shared" si="16"/>
        <v>-0.18781862087469825</v>
      </c>
      <c r="I430" s="4">
        <f t="shared" si="17"/>
        <v>1.2222249166021479E-2</v>
      </c>
      <c r="J430" s="4">
        <f t="shared" si="18"/>
        <v>2.1900000000000003E-2</v>
      </c>
    </row>
    <row r="431" spans="1:10" x14ac:dyDescent="0.3">
      <c r="A431" s="1">
        <v>39629</v>
      </c>
      <c r="B431" s="3">
        <v>17</v>
      </c>
      <c r="C431" s="3">
        <v>3.9729999999999999</v>
      </c>
      <c r="D431" s="3">
        <v>217.46299999999999</v>
      </c>
      <c r="E431" s="3">
        <v>74.430000000000007</v>
      </c>
      <c r="F431" s="3">
        <v>1.68</v>
      </c>
      <c r="G431" s="9">
        <f t="shared" si="19"/>
        <v>-6.8926695021265805E-2</v>
      </c>
      <c r="H431" s="8">
        <f t="shared" si="16"/>
        <v>-0.18782748891575984</v>
      </c>
      <c r="I431" s="4">
        <f t="shared" si="17"/>
        <v>1.0356230303230698E-2</v>
      </c>
      <c r="J431" s="4">
        <f t="shared" si="18"/>
        <v>2.2930000000000002E-2</v>
      </c>
    </row>
    <row r="432" spans="1:10" x14ac:dyDescent="0.3">
      <c r="A432" s="1">
        <v>39660</v>
      </c>
      <c r="B432" s="3">
        <v>16.8</v>
      </c>
      <c r="C432" s="3">
        <v>3.952</v>
      </c>
      <c r="D432" s="3">
        <v>219.01599999999999</v>
      </c>
      <c r="E432" s="3">
        <v>74.66</v>
      </c>
      <c r="F432" s="3">
        <v>1.645</v>
      </c>
      <c r="G432" s="9">
        <f t="shared" si="19"/>
        <v>-7.3812182111400615E-2</v>
      </c>
      <c r="H432" s="8">
        <f t="shared" si="16"/>
        <v>-0.22702919903562813</v>
      </c>
      <c r="I432" s="4">
        <f t="shared" si="17"/>
        <v>9.6662164997369793E-3</v>
      </c>
      <c r="J432" s="4">
        <f t="shared" si="18"/>
        <v>2.307E-2</v>
      </c>
    </row>
    <row r="433" spans="1:10" x14ac:dyDescent="0.3">
      <c r="A433" s="1">
        <v>39689</v>
      </c>
      <c r="B433" s="3">
        <v>16.8</v>
      </c>
      <c r="C433" s="3">
        <v>3.827</v>
      </c>
      <c r="D433" s="3">
        <v>218.69</v>
      </c>
      <c r="E433" s="3">
        <v>75.52</v>
      </c>
      <c r="F433" s="3">
        <v>1.68</v>
      </c>
      <c r="G433" s="9">
        <f t="shared" si="19"/>
        <v>-9.6434553720985861E-2</v>
      </c>
      <c r="H433" s="8">
        <f t="shared" si="16"/>
        <v>-0.26297669491525422</v>
      </c>
      <c r="I433" s="4">
        <f t="shared" si="17"/>
        <v>8.6957143016632432E-3</v>
      </c>
      <c r="J433" s="4">
        <f t="shared" si="18"/>
        <v>2.1470000000000003E-2</v>
      </c>
    </row>
    <row r="434" spans="1:10" x14ac:dyDescent="0.3">
      <c r="A434" s="1">
        <v>39721</v>
      </c>
      <c r="B434" s="3">
        <v>15.3</v>
      </c>
      <c r="C434" s="3">
        <v>3.8290000000000002</v>
      </c>
      <c r="D434" s="3">
        <v>218.87700000000001</v>
      </c>
      <c r="E434" s="3">
        <v>75.34</v>
      </c>
      <c r="F434" s="3">
        <v>0.89</v>
      </c>
      <c r="G434" s="9">
        <f t="shared" si="19"/>
        <v>-0.10031048483400995</v>
      </c>
      <c r="H434" s="8">
        <f t="shared" si="16"/>
        <v>-0.26612689142553758</v>
      </c>
      <c r="I434" s="4">
        <f t="shared" si="17"/>
        <v>8.6907037452799846E-3</v>
      </c>
      <c r="J434" s="4">
        <f t="shared" si="18"/>
        <v>2.9389999999999999E-2</v>
      </c>
    </row>
    <row r="435" spans="1:10" x14ac:dyDescent="0.3">
      <c r="A435" s="1">
        <v>39752</v>
      </c>
      <c r="B435" s="3">
        <v>12.8</v>
      </c>
      <c r="C435" s="3">
        <v>3.9740000000000002</v>
      </c>
      <c r="D435" s="3">
        <v>216.995</v>
      </c>
      <c r="E435" s="3">
        <v>74.17</v>
      </c>
      <c r="F435" s="3">
        <v>0.435</v>
      </c>
      <c r="G435" s="9">
        <f t="shared" si="19"/>
        <v>-0.11024472168905952</v>
      </c>
      <c r="H435" s="8">
        <f t="shared" si="16"/>
        <v>-0.28421194553053797</v>
      </c>
      <c r="I435" s="4">
        <f t="shared" si="17"/>
        <v>1.1280776651382836E-2</v>
      </c>
      <c r="J435" s="4">
        <f t="shared" si="18"/>
        <v>3.5390000000000005E-2</v>
      </c>
    </row>
    <row r="436" spans="1:10" x14ac:dyDescent="0.3">
      <c r="A436" s="1">
        <v>39780</v>
      </c>
      <c r="B436" s="3">
        <v>11.6</v>
      </c>
      <c r="C436" s="3">
        <v>2.9239999999999999</v>
      </c>
      <c r="D436" s="3">
        <v>213.15299999999999</v>
      </c>
      <c r="E436" s="3">
        <v>75.27</v>
      </c>
      <c r="F436" s="3">
        <v>3.5000000000000003E-2</v>
      </c>
      <c r="G436" s="9">
        <f t="shared" si="19"/>
        <v>-5.022082018927454E-2</v>
      </c>
      <c r="H436" s="8">
        <f t="shared" si="16"/>
        <v>-0.32111066826092727</v>
      </c>
      <c r="I436" s="4">
        <f t="shared" si="17"/>
        <v>2.7415762056589126E-3</v>
      </c>
      <c r="J436" s="4">
        <f t="shared" si="18"/>
        <v>2.8889999999999999E-2</v>
      </c>
    </row>
    <row r="437" spans="1:10" x14ac:dyDescent="0.3">
      <c r="A437" s="1">
        <v>39813</v>
      </c>
      <c r="B437" s="3">
        <v>11.9</v>
      </c>
      <c r="C437" s="3">
        <v>2.2189999999999999</v>
      </c>
      <c r="D437" s="3">
        <v>211.398</v>
      </c>
      <c r="E437" s="3">
        <v>74.73</v>
      </c>
      <c r="F437" s="3">
        <v>0.127</v>
      </c>
      <c r="G437" s="9">
        <f t="shared" si="19"/>
        <v>-4.9841068022886237E-2</v>
      </c>
      <c r="H437" s="8">
        <f t="shared" si="16"/>
        <v>-0.31807841562959993</v>
      </c>
      <c r="I437" s="4">
        <f t="shared" si="17"/>
        <v>-3.272789866994575E-3</v>
      </c>
      <c r="J437" s="4">
        <f t="shared" si="18"/>
        <v>2.0919999999999998E-2</v>
      </c>
    </row>
    <row r="438" spans="1:10" x14ac:dyDescent="0.3">
      <c r="A438" s="1">
        <v>39843</v>
      </c>
      <c r="B438" s="3">
        <v>11.7</v>
      </c>
      <c r="C438" s="3">
        <v>2.8540000000000001</v>
      </c>
      <c r="D438" s="3">
        <v>211.93299999999999</v>
      </c>
      <c r="E438" s="3">
        <v>69.400000000000006</v>
      </c>
      <c r="F438" s="3">
        <v>0.24299999999999999</v>
      </c>
      <c r="G438" s="9">
        <f t="shared" si="19"/>
        <v>-9.1504123576384266E-2</v>
      </c>
      <c r="H438" s="8">
        <f t="shared" si="16"/>
        <v>-0.25086455331412105</v>
      </c>
      <c r="I438" s="4">
        <f t="shared" si="17"/>
        <v>3.0049719624003386E-3</v>
      </c>
      <c r="J438" s="4">
        <f t="shared" si="18"/>
        <v>2.6110000000000001E-2</v>
      </c>
    </row>
    <row r="439" spans="1:10" x14ac:dyDescent="0.3">
      <c r="A439" s="1">
        <v>39871</v>
      </c>
      <c r="B439" s="3">
        <v>11.2</v>
      </c>
      <c r="C439" s="3">
        <v>3.0169999999999999</v>
      </c>
      <c r="D439" s="3">
        <v>212.70500000000001</v>
      </c>
      <c r="E439" s="3">
        <v>65.400000000000006</v>
      </c>
      <c r="F439" s="3">
        <v>0.25900000000000001</v>
      </c>
      <c r="G439" s="9">
        <f t="shared" si="19"/>
        <v>-0.14810472840953481</v>
      </c>
      <c r="H439" s="8">
        <f t="shared" si="16"/>
        <v>-0.14388379204892976</v>
      </c>
      <c r="I439" s="4">
        <f t="shared" si="17"/>
        <v>4.2620152950225386E-3</v>
      </c>
      <c r="J439" s="4">
        <f t="shared" si="18"/>
        <v>2.758E-2</v>
      </c>
    </row>
    <row r="440" spans="1:10" x14ac:dyDescent="0.3">
      <c r="A440" s="1">
        <v>39903</v>
      </c>
      <c r="B440" s="3">
        <v>12.2</v>
      </c>
      <c r="C440" s="3">
        <v>2.6680000000000001</v>
      </c>
      <c r="D440" s="3">
        <v>212.495</v>
      </c>
      <c r="E440" s="3">
        <v>64.72</v>
      </c>
      <c r="F440" s="3">
        <v>0.20799999999999999</v>
      </c>
      <c r="G440" s="9">
        <f t="shared" si="19"/>
        <v>-0.15718192472978265</v>
      </c>
      <c r="H440" s="8">
        <f t="shared" si="16"/>
        <v>-0.12778121137206422</v>
      </c>
      <c r="I440" s="4">
        <f t="shared" si="17"/>
        <v>9.3560901143915215E-4</v>
      </c>
      <c r="J440" s="4">
        <f t="shared" si="18"/>
        <v>2.46E-2</v>
      </c>
    </row>
    <row r="441" spans="1:10" x14ac:dyDescent="0.3">
      <c r="A441" s="1">
        <v>39933</v>
      </c>
      <c r="B441" s="3">
        <v>13.7</v>
      </c>
      <c r="C441" s="3">
        <v>3.1150000000000002</v>
      </c>
      <c r="D441" s="3">
        <v>212.709</v>
      </c>
      <c r="E441" s="3">
        <v>63.09</v>
      </c>
      <c r="F441" s="3">
        <v>0.13200000000000001</v>
      </c>
      <c r="G441" s="9">
        <f t="shared" si="19"/>
        <v>-0.16525535856046569</v>
      </c>
      <c r="H441" s="8">
        <f t="shared" si="16"/>
        <v>-3.0749722618481634E-2</v>
      </c>
      <c r="I441" s="4">
        <f t="shared" si="17"/>
        <v>5.9845812423360185E-3</v>
      </c>
      <c r="J441" s="4">
        <f t="shared" si="18"/>
        <v>2.9830000000000002E-2</v>
      </c>
    </row>
    <row r="442" spans="1:10" x14ac:dyDescent="0.3">
      <c r="A442" s="1">
        <v>39962</v>
      </c>
      <c r="B442" s="3">
        <v>15</v>
      </c>
      <c r="C442" s="3">
        <v>3.4609999999999999</v>
      </c>
      <c r="D442" s="3">
        <v>213.02199999999999</v>
      </c>
      <c r="E442" s="3">
        <v>60.54</v>
      </c>
      <c r="F442" s="3">
        <v>0.13700000000000001</v>
      </c>
      <c r="G442" s="9">
        <f t="shared" si="19"/>
        <v>-0.18781862087469825</v>
      </c>
      <c r="H442" s="8">
        <f t="shared" si="16"/>
        <v>5.3848695077634678E-2</v>
      </c>
      <c r="I442" s="4">
        <f t="shared" si="17"/>
        <v>9.3556113563226517E-3</v>
      </c>
      <c r="J442" s="4">
        <f t="shared" si="18"/>
        <v>3.3239999999999999E-2</v>
      </c>
    </row>
    <row r="443" spans="1:10" x14ac:dyDescent="0.3">
      <c r="A443" s="1">
        <v>39994</v>
      </c>
      <c r="B443" s="3">
        <v>15</v>
      </c>
      <c r="C443" s="3">
        <v>3.5369999999999999</v>
      </c>
      <c r="D443" s="3">
        <v>214.79</v>
      </c>
      <c r="E443" s="3">
        <v>60.45</v>
      </c>
      <c r="F443" s="3">
        <v>0.193</v>
      </c>
      <c r="G443" s="9">
        <f t="shared" si="19"/>
        <v>-0.18782748891575984</v>
      </c>
      <c r="H443" s="8">
        <f t="shared" si="16"/>
        <v>5.9222497932175377E-2</v>
      </c>
      <c r="I443" s="4">
        <f t="shared" si="17"/>
        <v>9.267851405981728E-3</v>
      </c>
      <c r="J443" s="4">
        <f t="shared" si="18"/>
        <v>3.3439999999999998E-2</v>
      </c>
    </row>
    <row r="444" spans="1:10" x14ac:dyDescent="0.3">
      <c r="A444" s="1">
        <v>40025</v>
      </c>
      <c r="B444" s="3">
        <v>16.899999999999999</v>
      </c>
      <c r="C444" s="3">
        <v>3.4820000000000002</v>
      </c>
      <c r="D444" s="3">
        <v>214.726</v>
      </c>
      <c r="E444" s="3">
        <v>57.71</v>
      </c>
      <c r="F444" s="3">
        <v>0.185</v>
      </c>
      <c r="G444" s="9">
        <f t="shared" si="19"/>
        <v>-0.22702919903562813</v>
      </c>
      <c r="H444" s="8">
        <f t="shared" si="16"/>
        <v>0.15733841621902633</v>
      </c>
      <c r="I444" s="4">
        <f t="shared" si="17"/>
        <v>9.1801100341026148E-3</v>
      </c>
      <c r="J444" s="4">
        <f t="shared" si="18"/>
        <v>3.2969999999999999E-2</v>
      </c>
    </row>
    <row r="445" spans="1:10" x14ac:dyDescent="0.3">
      <c r="A445" s="1">
        <v>40056</v>
      </c>
      <c r="B445" s="3">
        <v>18.100000000000001</v>
      </c>
      <c r="C445" s="3">
        <v>3.403</v>
      </c>
      <c r="D445" s="3">
        <v>215.44499999999999</v>
      </c>
      <c r="E445" s="3">
        <v>55.66</v>
      </c>
      <c r="F445" s="3">
        <v>0.14199999999999999</v>
      </c>
      <c r="G445" s="9">
        <f t="shared" si="19"/>
        <v>-0.26297669491525422</v>
      </c>
      <c r="H445" s="8">
        <f t="shared" si="16"/>
        <v>0.24020840819259792</v>
      </c>
      <c r="I445" s="4">
        <f t="shared" si="17"/>
        <v>8.2930579657993705E-3</v>
      </c>
      <c r="J445" s="4">
        <f t="shared" si="18"/>
        <v>3.261E-2</v>
      </c>
    </row>
    <row r="446" spans="1:10" x14ac:dyDescent="0.3">
      <c r="A446" s="1">
        <v>40086</v>
      </c>
      <c r="B446" s="3">
        <v>18.899999999999999</v>
      </c>
      <c r="C446" s="3">
        <v>3.3050000000000002</v>
      </c>
      <c r="D446" s="3">
        <v>215.86099999999999</v>
      </c>
      <c r="E446" s="3">
        <v>55.29</v>
      </c>
      <c r="F446" s="3">
        <v>0.127</v>
      </c>
      <c r="G446" s="9">
        <f t="shared" si="19"/>
        <v>-0.26612689142553758</v>
      </c>
      <c r="H446" s="8">
        <f t="shared" si="16"/>
        <v>0.25791282329535181</v>
      </c>
      <c r="I446" s="4">
        <f t="shared" si="17"/>
        <v>7.5439595121049377E-3</v>
      </c>
      <c r="J446" s="4">
        <f t="shared" si="18"/>
        <v>3.1780000000000003E-2</v>
      </c>
    </row>
    <row r="447" spans="1:10" x14ac:dyDescent="0.3">
      <c r="A447" s="1">
        <v>40116</v>
      </c>
      <c r="B447" s="3">
        <v>19.3</v>
      </c>
      <c r="C447" s="3">
        <v>3.3879999999999999</v>
      </c>
      <c r="D447" s="3">
        <v>216.50899999999999</v>
      </c>
      <c r="E447" s="3">
        <v>53.09</v>
      </c>
      <c r="F447" s="3">
        <v>5.0999999999999997E-2</v>
      </c>
      <c r="G447" s="9">
        <f t="shared" si="19"/>
        <v>-0.28421194553053797</v>
      </c>
      <c r="H447" s="8">
        <f t="shared" ref="H447:H510" si="20">G459</f>
        <v>0.34469768317950633</v>
      </c>
      <c r="I447" s="4">
        <f t="shared" ref="I447:I510" si="21">C447%-((D447/D327)^(1/10)-1)</f>
        <v>8.2497438655252178E-3</v>
      </c>
      <c r="J447" s="4">
        <f t="shared" ref="J447:J510" si="22">(C447-F447)%</f>
        <v>3.3369999999999997E-2</v>
      </c>
    </row>
    <row r="448" spans="1:10" x14ac:dyDescent="0.3">
      <c r="A448" s="1">
        <v>40147</v>
      </c>
      <c r="B448" s="3">
        <v>21.2</v>
      </c>
      <c r="C448" s="3">
        <v>3.2</v>
      </c>
      <c r="D448" s="3">
        <v>217.23400000000001</v>
      </c>
      <c r="E448" s="3">
        <v>51.1</v>
      </c>
      <c r="F448" s="3">
        <v>5.6000000000000001E-2</v>
      </c>
      <c r="G448" s="9">
        <f t="shared" si="19"/>
        <v>-0.32111066826092727</v>
      </c>
      <c r="H448" s="8">
        <f t="shared" si="20"/>
        <v>0.41585127201565553</v>
      </c>
      <c r="I448" s="4">
        <f t="shared" si="21"/>
        <v>6.2097397171693991E-3</v>
      </c>
      <c r="J448" s="4">
        <f t="shared" si="22"/>
        <v>3.1440000000000003E-2</v>
      </c>
    </row>
    <row r="449" spans="1:10" x14ac:dyDescent="0.3">
      <c r="A449" s="1">
        <v>40178</v>
      </c>
      <c r="B449" s="3">
        <v>21.7</v>
      </c>
      <c r="C449" s="3">
        <v>3.8370000000000002</v>
      </c>
      <c r="D449" s="3">
        <v>217.34700000000001</v>
      </c>
      <c r="E449" s="3">
        <v>50.96</v>
      </c>
      <c r="F449" s="3">
        <v>6.0999999999999999E-2</v>
      </c>
      <c r="G449" s="9">
        <f t="shared" si="19"/>
        <v>-0.31807841562959993</v>
      </c>
      <c r="H449" s="8">
        <f t="shared" si="20"/>
        <v>0.42700156985871263</v>
      </c>
      <c r="I449" s="4">
        <f t="shared" si="21"/>
        <v>1.2769743526893626E-2</v>
      </c>
      <c r="J449" s="4">
        <f t="shared" si="22"/>
        <v>3.7760000000000002E-2</v>
      </c>
    </row>
    <row r="450" spans="1:10" x14ac:dyDescent="0.3">
      <c r="A450" s="1">
        <v>40207</v>
      </c>
      <c r="B450" s="3">
        <v>20.5</v>
      </c>
      <c r="C450" s="3">
        <v>3.5840000000000001</v>
      </c>
      <c r="D450" s="3">
        <v>217.488</v>
      </c>
      <c r="E450" s="3">
        <v>51.99</v>
      </c>
      <c r="F450" s="3">
        <v>7.5999999999999998E-2</v>
      </c>
      <c r="G450" s="9">
        <f t="shared" si="19"/>
        <v>-0.25086455331412105</v>
      </c>
      <c r="H450" s="8">
        <f t="shared" si="20"/>
        <v>0.41892671667628378</v>
      </c>
      <c r="I450" s="4">
        <f t="shared" si="21"/>
        <v>1.0476546267995789E-2</v>
      </c>
      <c r="J450" s="4">
        <f t="shared" si="22"/>
        <v>3.508E-2</v>
      </c>
    </row>
    <row r="451" spans="1:10" x14ac:dyDescent="0.3">
      <c r="A451" s="1">
        <v>40235</v>
      </c>
      <c r="B451" s="3">
        <v>19.7</v>
      </c>
      <c r="C451" s="3">
        <v>3.617</v>
      </c>
      <c r="D451" s="3">
        <v>217.28100000000001</v>
      </c>
      <c r="E451" s="3">
        <v>55.99</v>
      </c>
      <c r="F451" s="3">
        <v>0.122</v>
      </c>
      <c r="G451" s="9">
        <f t="shared" si="19"/>
        <v>-0.14388379204892976</v>
      </c>
      <c r="H451" s="8">
        <f t="shared" si="20"/>
        <v>0.35149133773888197</v>
      </c>
      <c r="I451" s="4">
        <f t="shared" si="21"/>
        <v>1.1327132368960512E-2</v>
      </c>
      <c r="J451" s="4">
        <f t="shared" si="22"/>
        <v>3.4950000000000002E-2</v>
      </c>
    </row>
    <row r="452" spans="1:10" x14ac:dyDescent="0.3">
      <c r="A452" s="1">
        <v>40268</v>
      </c>
      <c r="B452" s="3">
        <v>20.6</v>
      </c>
      <c r="C452" s="3">
        <v>3.8330000000000002</v>
      </c>
      <c r="D452" s="3">
        <v>217.35300000000001</v>
      </c>
      <c r="E452" s="3">
        <v>56.45</v>
      </c>
      <c r="F452" s="3">
        <v>0.157</v>
      </c>
      <c r="G452" s="9">
        <f t="shared" si="19"/>
        <v>-0.12778121137206422</v>
      </c>
      <c r="H452" s="8">
        <f t="shared" si="20"/>
        <v>0.34844995571302029</v>
      </c>
      <c r="I452" s="4">
        <f t="shared" si="21"/>
        <v>1.405410366118745E-2</v>
      </c>
      <c r="J452" s="4">
        <f t="shared" si="22"/>
        <v>3.6760000000000001E-2</v>
      </c>
    </row>
    <row r="453" spans="1:10" x14ac:dyDescent="0.3">
      <c r="A453" s="1">
        <v>40298</v>
      </c>
      <c r="B453" s="3">
        <v>19.399999999999999</v>
      </c>
      <c r="C453" s="3">
        <v>3.6589999999999998</v>
      </c>
      <c r="D453" s="3">
        <v>217.40299999999999</v>
      </c>
      <c r="E453" s="3">
        <v>61.15</v>
      </c>
      <c r="F453" s="3">
        <v>0.16500000000000001</v>
      </c>
      <c r="G453" s="9">
        <f t="shared" si="19"/>
        <v>-3.0749722618481634E-2</v>
      </c>
      <c r="H453" s="8">
        <f t="shared" si="20"/>
        <v>0.33900245298446441</v>
      </c>
      <c r="I453" s="4">
        <f t="shared" si="21"/>
        <v>1.2230623775496871E-2</v>
      </c>
      <c r="J453" s="4">
        <f t="shared" si="22"/>
        <v>3.4939999999999999E-2</v>
      </c>
    </row>
    <row r="454" spans="1:10" x14ac:dyDescent="0.3">
      <c r="A454" s="1">
        <v>40329</v>
      </c>
      <c r="B454" s="3">
        <v>17.100000000000001</v>
      </c>
      <c r="C454" s="3">
        <v>3.3029999999999999</v>
      </c>
      <c r="D454" s="3">
        <v>217.29</v>
      </c>
      <c r="E454" s="3">
        <v>63.8</v>
      </c>
      <c r="F454" s="3">
        <v>0.16200000000000001</v>
      </c>
      <c r="G454" s="9">
        <f t="shared" si="19"/>
        <v>5.3848695077634678E-2</v>
      </c>
      <c r="H454" s="8">
        <f t="shared" si="20"/>
        <v>0.28369905956112862</v>
      </c>
      <c r="I454" s="4">
        <f t="shared" si="21"/>
        <v>8.9035141605527876E-3</v>
      </c>
      <c r="J454" s="4">
        <f t="shared" si="22"/>
        <v>3.141E-2</v>
      </c>
    </row>
    <row r="455" spans="1:10" x14ac:dyDescent="0.3">
      <c r="A455" s="1">
        <v>40359</v>
      </c>
      <c r="B455" s="3">
        <v>16.100000000000001</v>
      </c>
      <c r="C455" s="3">
        <v>2.9350000000000001</v>
      </c>
      <c r="D455" s="3">
        <v>217.19900000000001</v>
      </c>
      <c r="E455" s="3">
        <v>64.03</v>
      </c>
      <c r="F455" s="3">
        <v>0.17799999999999999</v>
      </c>
      <c r="G455" s="9">
        <f t="shared" si="19"/>
        <v>5.9222497932175377E-2</v>
      </c>
      <c r="H455" s="8">
        <f t="shared" si="20"/>
        <v>0.28471029205060128</v>
      </c>
      <c r="I455" s="4">
        <f t="shared" si="21"/>
        <v>5.8626779328801032E-3</v>
      </c>
      <c r="J455" s="4">
        <f t="shared" si="22"/>
        <v>2.7570000000000001E-2</v>
      </c>
    </row>
    <row r="456" spans="1:10" x14ac:dyDescent="0.3">
      <c r="A456" s="1">
        <v>40389</v>
      </c>
      <c r="B456" s="3">
        <v>16.5</v>
      </c>
      <c r="C456" s="3">
        <v>2.9049999999999998</v>
      </c>
      <c r="D456" s="3">
        <v>217.60499999999999</v>
      </c>
      <c r="E456" s="3">
        <v>66.790000000000006</v>
      </c>
      <c r="F456" s="3">
        <v>0.14699999999999999</v>
      </c>
      <c r="G456" s="9">
        <f t="shared" si="19"/>
        <v>0.15733841621902633</v>
      </c>
      <c r="H456" s="8">
        <f t="shared" si="20"/>
        <v>0.25168438388980374</v>
      </c>
      <c r="I456" s="4">
        <f t="shared" si="21"/>
        <v>5.6682845542121787E-3</v>
      </c>
      <c r="J456" s="4">
        <f t="shared" si="22"/>
        <v>2.758E-2</v>
      </c>
    </row>
    <row r="457" spans="1:10" x14ac:dyDescent="0.3">
      <c r="A457" s="1">
        <v>40421</v>
      </c>
      <c r="B457" s="3">
        <v>15.3</v>
      </c>
      <c r="C457" s="3">
        <v>2.4700000000000002</v>
      </c>
      <c r="D457" s="3">
        <v>217.923</v>
      </c>
      <c r="E457" s="3">
        <v>69.03</v>
      </c>
      <c r="F457" s="3">
        <v>0.14199999999999999</v>
      </c>
      <c r="G457" s="9">
        <f t="shared" si="19"/>
        <v>0.24020840819259792</v>
      </c>
      <c r="H457" s="8">
        <f t="shared" si="20"/>
        <v>0.24308271765898892</v>
      </c>
      <c r="I457" s="4">
        <f t="shared" si="21"/>
        <v>1.1688295450667553E-3</v>
      </c>
      <c r="J457" s="4">
        <f t="shared" si="22"/>
        <v>2.3280000000000002E-2</v>
      </c>
    </row>
    <row r="458" spans="1:10" x14ac:dyDescent="0.3">
      <c r="A458" s="1">
        <v>40451</v>
      </c>
      <c r="B458" s="3">
        <v>16.5</v>
      </c>
      <c r="C458" s="3">
        <v>2.512</v>
      </c>
      <c r="D458" s="3">
        <v>218.27500000000001</v>
      </c>
      <c r="E458" s="3">
        <v>69.55</v>
      </c>
      <c r="F458" s="3">
        <v>0.16200000000000001</v>
      </c>
      <c r="G458" s="9">
        <f t="shared" si="19"/>
        <v>0.25791282329535181</v>
      </c>
      <c r="H458" s="8">
        <f t="shared" si="20"/>
        <v>0.23824586628324962</v>
      </c>
      <c r="I458" s="4">
        <f t="shared" si="21"/>
        <v>1.95558416476024E-3</v>
      </c>
      <c r="J458" s="4">
        <f t="shared" si="22"/>
        <v>2.35E-2</v>
      </c>
    </row>
    <row r="459" spans="1:10" x14ac:dyDescent="0.3">
      <c r="A459" s="1">
        <v>40480</v>
      </c>
      <c r="B459" s="3">
        <v>16.7</v>
      </c>
      <c r="C459" s="3">
        <v>2.6030000000000002</v>
      </c>
      <c r="D459" s="3">
        <v>219.035</v>
      </c>
      <c r="E459" s="3">
        <v>71.39</v>
      </c>
      <c r="F459" s="3">
        <v>0.11899999999999999</v>
      </c>
      <c r="G459" s="9">
        <f t="shared" ref="G459:G522" si="23">E459/E447-1</f>
        <v>0.34469768317950633</v>
      </c>
      <c r="H459" s="8">
        <f t="shared" si="20"/>
        <v>0.19232385488163617</v>
      </c>
      <c r="I459" s="4">
        <f t="shared" si="21"/>
        <v>2.6865986822606248E-3</v>
      </c>
      <c r="J459" s="4">
        <f t="shared" si="22"/>
        <v>2.4840000000000001E-2</v>
      </c>
    </row>
    <row r="460" spans="1:10" x14ac:dyDescent="0.3">
      <c r="A460" s="1">
        <v>40512</v>
      </c>
      <c r="B460" s="3">
        <v>16.399999999999999</v>
      </c>
      <c r="C460" s="3">
        <v>2.7970000000000002</v>
      </c>
      <c r="D460" s="3">
        <v>219.59</v>
      </c>
      <c r="E460" s="3">
        <v>72.349999999999994</v>
      </c>
      <c r="F460" s="3">
        <v>0.16700000000000001</v>
      </c>
      <c r="G460" s="9">
        <f t="shared" si="23"/>
        <v>0.41585127201565553</v>
      </c>
      <c r="H460" s="8">
        <f t="shared" si="20"/>
        <v>0.20926053904630271</v>
      </c>
      <c r="I460" s="4">
        <f t="shared" si="21"/>
        <v>4.5440121718424778E-3</v>
      </c>
      <c r="J460" s="4">
        <f t="shared" si="22"/>
        <v>2.6300000000000004E-2</v>
      </c>
    </row>
    <row r="461" spans="1:10" x14ac:dyDescent="0.3">
      <c r="A461" s="1">
        <v>40543</v>
      </c>
      <c r="B461" s="3">
        <v>17.399999999999999</v>
      </c>
      <c r="C461" s="3">
        <v>3.2879999999999998</v>
      </c>
      <c r="D461" s="3">
        <v>220.47200000000001</v>
      </c>
      <c r="E461" s="3">
        <v>72.72</v>
      </c>
      <c r="F461" s="3">
        <v>0.127</v>
      </c>
      <c r="G461" s="9">
        <f t="shared" si="23"/>
        <v>0.42700156985871263</v>
      </c>
      <c r="H461" s="8">
        <f t="shared" si="20"/>
        <v>0.20407040704070423</v>
      </c>
      <c r="I461" s="4">
        <f t="shared" si="21"/>
        <v>9.278484430485158E-3</v>
      </c>
      <c r="J461" s="4">
        <f t="shared" si="22"/>
        <v>3.1609999999999999E-2</v>
      </c>
    </row>
    <row r="462" spans="1:10" x14ac:dyDescent="0.3">
      <c r="A462" s="1">
        <v>40574</v>
      </c>
      <c r="B462" s="3">
        <v>17.5</v>
      </c>
      <c r="C462" s="3">
        <v>3.3740000000000001</v>
      </c>
      <c r="D462" s="3">
        <v>221.18700000000001</v>
      </c>
      <c r="E462" s="3">
        <v>73.77</v>
      </c>
      <c r="F462" s="3">
        <v>0.152</v>
      </c>
      <c r="G462" s="9">
        <f t="shared" si="23"/>
        <v>0.41892671667628378</v>
      </c>
      <c r="H462" s="8">
        <f t="shared" si="20"/>
        <v>0.19398129320862134</v>
      </c>
      <c r="I462" s="4">
        <f t="shared" si="21"/>
        <v>1.0391614646155907E-2</v>
      </c>
      <c r="J462" s="4">
        <f t="shared" si="22"/>
        <v>3.2219999999999999E-2</v>
      </c>
    </row>
    <row r="463" spans="1:10" x14ac:dyDescent="0.3">
      <c r="A463" s="1">
        <v>40602</v>
      </c>
      <c r="B463" s="3">
        <v>17.600000000000001</v>
      </c>
      <c r="C463" s="3">
        <v>3.4220000000000002</v>
      </c>
      <c r="D463" s="3">
        <v>221.898</v>
      </c>
      <c r="E463" s="3">
        <v>75.67</v>
      </c>
      <c r="F463" s="3">
        <v>0.14199999999999999</v>
      </c>
      <c r="G463" s="9">
        <f t="shared" si="23"/>
        <v>0.35149133773888197</v>
      </c>
      <c r="H463" s="8">
        <f t="shared" si="20"/>
        <v>0.14417867054314781</v>
      </c>
      <c r="I463" s="4">
        <f t="shared" si="21"/>
        <v>1.0776028889082218E-2</v>
      </c>
      <c r="J463" s="4">
        <f t="shared" si="22"/>
        <v>3.2800000000000003E-2</v>
      </c>
    </row>
    <row r="464" spans="1:10" x14ac:dyDescent="0.3">
      <c r="A464" s="1">
        <v>40633</v>
      </c>
      <c r="B464" s="3">
        <v>17.5</v>
      </c>
      <c r="C464" s="3">
        <v>3.468</v>
      </c>
      <c r="D464" s="3">
        <v>223.04599999999999</v>
      </c>
      <c r="E464" s="3">
        <v>76.12</v>
      </c>
      <c r="F464" s="3">
        <v>9.4E-2</v>
      </c>
      <c r="G464" s="9">
        <f t="shared" si="23"/>
        <v>0.34844995571302029</v>
      </c>
      <c r="H464" s="8">
        <f t="shared" si="20"/>
        <v>0.13439306358381486</v>
      </c>
      <c r="I464" s="4">
        <f t="shared" si="21"/>
        <v>1.0765935948221464E-2</v>
      </c>
      <c r="J464" s="4">
        <f t="shared" si="22"/>
        <v>3.3739999999999999E-2</v>
      </c>
    </row>
    <row r="465" spans="1:10" x14ac:dyDescent="0.3">
      <c r="A465" s="1">
        <v>40662</v>
      </c>
      <c r="B465" s="3">
        <v>16.8</v>
      </c>
      <c r="C465" s="3">
        <v>3.29</v>
      </c>
      <c r="D465" s="3">
        <v>224.09299999999999</v>
      </c>
      <c r="E465" s="3">
        <v>81.88</v>
      </c>
      <c r="F465" s="3">
        <v>4.2999999999999997E-2</v>
      </c>
      <c r="G465" s="9">
        <f t="shared" si="23"/>
        <v>0.33900245298446441</v>
      </c>
      <c r="H465" s="8">
        <f t="shared" si="20"/>
        <v>7.3888617489008546E-2</v>
      </c>
      <c r="I465" s="4">
        <f t="shared" si="21"/>
        <v>8.6806628981193762E-3</v>
      </c>
      <c r="J465" s="4">
        <f t="shared" si="22"/>
        <v>3.2469999999999999E-2</v>
      </c>
    </row>
    <row r="466" spans="1:10" x14ac:dyDescent="0.3">
      <c r="A466" s="1">
        <v>40694</v>
      </c>
      <c r="B466" s="3">
        <v>16.600000000000001</v>
      </c>
      <c r="C466" s="3">
        <v>3.0590000000000002</v>
      </c>
      <c r="D466" s="3">
        <v>224.80600000000001</v>
      </c>
      <c r="E466" s="3">
        <v>81.900000000000006</v>
      </c>
      <c r="F466" s="3">
        <v>5.2999999999999999E-2</v>
      </c>
      <c r="G466" s="9">
        <f t="shared" si="23"/>
        <v>0.28369905956112862</v>
      </c>
      <c r="H466" s="8">
        <f t="shared" si="20"/>
        <v>8.7545787545787457E-2</v>
      </c>
      <c r="I466" s="4">
        <f t="shared" si="21"/>
        <v>6.5665164614557812E-3</v>
      </c>
      <c r="J466" s="4">
        <f t="shared" si="22"/>
        <v>3.0060000000000003E-2</v>
      </c>
    </row>
    <row r="467" spans="1:10" x14ac:dyDescent="0.3">
      <c r="A467" s="1">
        <v>40724</v>
      </c>
      <c r="B467" s="3">
        <v>16.100000000000001</v>
      </c>
      <c r="C467" s="3">
        <v>3.16</v>
      </c>
      <c r="D467" s="3">
        <v>224.80600000000001</v>
      </c>
      <c r="E467" s="3">
        <v>82.26</v>
      </c>
      <c r="F467" s="3">
        <v>0.02</v>
      </c>
      <c r="G467" s="9">
        <f t="shared" si="23"/>
        <v>0.28471029205060128</v>
      </c>
      <c r="H467" s="8">
        <f t="shared" si="20"/>
        <v>8.254315584731331E-2</v>
      </c>
      <c r="I467" s="4">
        <f t="shared" si="21"/>
        <v>7.8072564147050744E-3</v>
      </c>
      <c r="J467" s="4">
        <f t="shared" si="22"/>
        <v>3.1400000000000004E-2</v>
      </c>
    </row>
    <row r="468" spans="1:10" x14ac:dyDescent="0.3">
      <c r="A468" s="1">
        <v>40753</v>
      </c>
      <c r="B468" s="3">
        <v>15.6</v>
      </c>
      <c r="C468" s="3">
        <v>2.7930000000000001</v>
      </c>
      <c r="D468" s="3">
        <v>225.39500000000001</v>
      </c>
      <c r="E468" s="3">
        <v>83.6</v>
      </c>
      <c r="F468" s="3">
        <v>9.9000000000000005E-2</v>
      </c>
      <c r="G468" s="9">
        <f t="shared" si="23"/>
        <v>0.25168438388980374</v>
      </c>
      <c r="H468" s="8">
        <f t="shared" si="20"/>
        <v>6.7583732057416412E-2</v>
      </c>
      <c r="I468" s="4">
        <f t="shared" si="21"/>
        <v>3.6962880829769403E-3</v>
      </c>
      <c r="J468" s="4">
        <f t="shared" si="22"/>
        <v>2.6939999999999999E-2</v>
      </c>
    </row>
    <row r="469" spans="1:10" x14ac:dyDescent="0.3">
      <c r="A469" s="1">
        <v>40786</v>
      </c>
      <c r="B469" s="3">
        <v>14.3</v>
      </c>
      <c r="C469" s="3">
        <v>2.234</v>
      </c>
      <c r="D469" s="3">
        <v>226.10599999999999</v>
      </c>
      <c r="E469" s="3">
        <v>85.81</v>
      </c>
      <c r="F469" s="3">
        <v>1.4999999999999999E-2</v>
      </c>
      <c r="G469" s="9">
        <f t="shared" si="23"/>
        <v>0.24308271765898892</v>
      </c>
      <c r="H469" s="8">
        <f t="shared" si="20"/>
        <v>2.9600279687681974E-2</v>
      </c>
      <c r="I469" s="4">
        <f t="shared" si="21"/>
        <v>-2.2163448508230321E-3</v>
      </c>
      <c r="J469" s="4">
        <f t="shared" si="22"/>
        <v>2.2189999999999998E-2</v>
      </c>
    </row>
    <row r="470" spans="1:10" x14ac:dyDescent="0.3">
      <c r="A470" s="1">
        <v>40816</v>
      </c>
      <c r="B470" s="3">
        <v>13.2</v>
      </c>
      <c r="C470" s="3">
        <v>1.917</v>
      </c>
      <c r="D470" s="3">
        <v>226.59700000000001</v>
      </c>
      <c r="E470" s="3">
        <v>86.12</v>
      </c>
      <c r="F470" s="3">
        <v>2.5000000000000001E-2</v>
      </c>
      <c r="G470" s="9">
        <f t="shared" si="23"/>
        <v>0.23824586628324962</v>
      </c>
      <c r="H470" s="8">
        <f t="shared" si="20"/>
        <v>2.6358569437993529E-2</v>
      </c>
      <c r="I470" s="4">
        <f t="shared" si="21"/>
        <v>-5.2051243451071358E-3</v>
      </c>
      <c r="J470" s="4">
        <f t="shared" si="22"/>
        <v>1.8920000000000003E-2</v>
      </c>
    </row>
    <row r="471" spans="1:10" x14ac:dyDescent="0.3">
      <c r="A471" s="1">
        <v>40847</v>
      </c>
      <c r="B471" s="3">
        <v>14.8</v>
      </c>
      <c r="C471" s="3">
        <v>2.1160000000000001</v>
      </c>
      <c r="D471" s="3">
        <v>226.75</v>
      </c>
      <c r="E471" s="3">
        <v>85.12</v>
      </c>
      <c r="F471" s="3">
        <v>-0.01</v>
      </c>
      <c r="G471" s="9">
        <f t="shared" si="23"/>
        <v>0.19232385488163617</v>
      </c>
      <c r="H471" s="8">
        <f t="shared" si="20"/>
        <v>3.7593984962405846E-2</v>
      </c>
      <c r="I471" s="4">
        <f t="shared" si="21"/>
        <v>-3.5723185436258957E-3</v>
      </c>
      <c r="J471" s="4">
        <f t="shared" si="22"/>
        <v>2.1259999999999998E-2</v>
      </c>
    </row>
    <row r="472" spans="1:10" x14ac:dyDescent="0.3">
      <c r="A472" s="1">
        <v>40877</v>
      </c>
      <c r="B472" s="3">
        <v>14.3</v>
      </c>
      <c r="C472" s="3">
        <v>2.0720000000000001</v>
      </c>
      <c r="D472" s="3">
        <v>227.16900000000001</v>
      </c>
      <c r="E472" s="3">
        <v>87.49</v>
      </c>
      <c r="F472" s="3">
        <v>8.0000000000000002E-3</v>
      </c>
      <c r="G472" s="9">
        <f t="shared" si="23"/>
        <v>0.20926053904630271</v>
      </c>
      <c r="H472" s="8">
        <f t="shared" si="20"/>
        <v>5.3720425191450261E-3</v>
      </c>
      <c r="I472" s="4">
        <f t="shared" si="21"/>
        <v>-4.2592438634546231E-3</v>
      </c>
      <c r="J472" s="4">
        <f t="shared" si="22"/>
        <v>2.0640000000000002E-2</v>
      </c>
    </row>
    <row r="473" spans="1:10" x14ac:dyDescent="0.3">
      <c r="A473" s="1">
        <v>40907</v>
      </c>
      <c r="B473" s="3">
        <v>14.4</v>
      </c>
      <c r="C473" s="3">
        <v>1.8759999999999999</v>
      </c>
      <c r="D473" s="3">
        <v>227.22300000000001</v>
      </c>
      <c r="E473" s="3">
        <v>87.56</v>
      </c>
      <c r="F473" s="3">
        <v>0.02</v>
      </c>
      <c r="G473" s="9">
        <f t="shared" si="23"/>
        <v>0.20407040704070423</v>
      </c>
      <c r="H473" s="8">
        <f t="shared" si="20"/>
        <v>5.4819552306990538E-3</v>
      </c>
      <c r="I473" s="4">
        <f t="shared" si="21"/>
        <v>-6.3013704668607451E-3</v>
      </c>
      <c r="J473" s="4">
        <f t="shared" si="22"/>
        <v>1.856E-2</v>
      </c>
    </row>
    <row r="474" spans="1:10" x14ac:dyDescent="0.3">
      <c r="A474" s="1">
        <v>40939</v>
      </c>
      <c r="B474" s="3">
        <v>14.9</v>
      </c>
      <c r="C474" s="3">
        <v>1.7949999999999999</v>
      </c>
      <c r="D474" s="3">
        <v>227.84200000000001</v>
      </c>
      <c r="E474" s="3">
        <v>88.08</v>
      </c>
      <c r="F474" s="3">
        <v>5.6000000000000001E-2</v>
      </c>
      <c r="G474" s="9">
        <f t="shared" si="23"/>
        <v>0.19398129320862134</v>
      </c>
      <c r="H474" s="8">
        <f t="shared" si="20"/>
        <v>-1.5894641235241203E-3</v>
      </c>
      <c r="I474" s="4">
        <f t="shared" si="21"/>
        <v>-7.2170419938461169E-3</v>
      </c>
      <c r="J474" s="4">
        <f t="shared" si="22"/>
        <v>1.7389999999999999E-2</v>
      </c>
    </row>
    <row r="475" spans="1:10" x14ac:dyDescent="0.3">
      <c r="A475" s="1">
        <v>40968</v>
      </c>
      <c r="B475" s="3">
        <v>15.8</v>
      </c>
      <c r="C475" s="3">
        <v>1.974</v>
      </c>
      <c r="D475" s="3">
        <v>228.32900000000001</v>
      </c>
      <c r="E475" s="3">
        <v>86.58</v>
      </c>
      <c r="F475" s="3">
        <v>8.1000000000000003E-2</v>
      </c>
      <c r="G475" s="9">
        <f t="shared" si="23"/>
        <v>0.14417867054314781</v>
      </c>
      <c r="H475" s="8">
        <f t="shared" si="20"/>
        <v>4.6200046200062239E-4</v>
      </c>
      <c r="I475" s="4">
        <f t="shared" si="21"/>
        <v>-5.4730063788733588E-3</v>
      </c>
      <c r="J475" s="4">
        <f t="shared" si="22"/>
        <v>1.8929999999999999E-2</v>
      </c>
    </row>
    <row r="476" spans="1:10" x14ac:dyDescent="0.3">
      <c r="A476" s="1">
        <v>40998</v>
      </c>
      <c r="B476" s="3">
        <v>16.3</v>
      </c>
      <c r="C476" s="3">
        <v>2.214</v>
      </c>
      <c r="D476" s="3">
        <v>228.80699999999999</v>
      </c>
      <c r="E476" s="3">
        <v>86.35</v>
      </c>
      <c r="F476" s="3">
        <v>7.0999999999999994E-2</v>
      </c>
      <c r="G476" s="9">
        <f t="shared" si="23"/>
        <v>0.13439306358381486</v>
      </c>
      <c r="H476" s="8">
        <f t="shared" si="20"/>
        <v>2.7793862188767449E-3</v>
      </c>
      <c r="I476" s="4">
        <f t="shared" si="21"/>
        <v>-2.9998324850242716E-3</v>
      </c>
      <c r="J476" s="4">
        <f t="shared" si="22"/>
        <v>2.1429999999999998E-2</v>
      </c>
    </row>
    <row r="477" spans="1:10" x14ac:dyDescent="0.3">
      <c r="A477" s="1">
        <v>41029</v>
      </c>
      <c r="B477" s="3">
        <v>15.9</v>
      </c>
      <c r="C477" s="3">
        <v>1.919</v>
      </c>
      <c r="D477" s="3">
        <v>229.18700000000001</v>
      </c>
      <c r="E477" s="3">
        <v>87.93</v>
      </c>
      <c r="F477" s="3">
        <v>9.7000000000000003E-2</v>
      </c>
      <c r="G477" s="9">
        <f t="shared" si="23"/>
        <v>7.3888617489008546E-2</v>
      </c>
      <c r="H477" s="8">
        <f t="shared" si="20"/>
        <v>-2.0470829068578444E-3</v>
      </c>
      <c r="I477" s="4">
        <f t="shared" si="21"/>
        <v>-5.6615659123729206E-3</v>
      </c>
      <c r="J477" s="4">
        <f t="shared" si="22"/>
        <v>1.822E-2</v>
      </c>
    </row>
    <row r="478" spans="1:10" x14ac:dyDescent="0.3">
      <c r="A478" s="1">
        <v>41060</v>
      </c>
      <c r="B478" s="3">
        <v>14.7</v>
      </c>
      <c r="C478" s="3">
        <v>1.5629999999999999</v>
      </c>
      <c r="D478" s="3">
        <v>228.71299999999999</v>
      </c>
      <c r="E478" s="3">
        <v>89.07</v>
      </c>
      <c r="F478" s="3">
        <v>7.0999999999999994E-2</v>
      </c>
      <c r="G478" s="9">
        <f t="shared" si="23"/>
        <v>8.7545787545787457E-2</v>
      </c>
      <c r="H478" s="8">
        <f t="shared" si="20"/>
        <v>-1.302346469069271E-2</v>
      </c>
      <c r="I478" s="4">
        <f t="shared" si="21"/>
        <v>-8.8951873903431525E-3</v>
      </c>
      <c r="J478" s="4">
        <f t="shared" si="22"/>
        <v>1.4919999999999999E-2</v>
      </c>
    </row>
    <row r="479" spans="1:10" x14ac:dyDescent="0.3">
      <c r="A479" s="1">
        <v>41089</v>
      </c>
      <c r="B479" s="3">
        <v>15.3</v>
      </c>
      <c r="C479" s="3">
        <v>1.643</v>
      </c>
      <c r="D479" s="3">
        <v>228.524</v>
      </c>
      <c r="E479" s="3">
        <v>89.05</v>
      </c>
      <c r="F479" s="3">
        <v>8.5999999999999993E-2</v>
      </c>
      <c r="G479" s="9">
        <f t="shared" si="23"/>
        <v>8.254315584731331E-2</v>
      </c>
      <c r="H479" s="8">
        <f t="shared" si="20"/>
        <v>-1.1903425042111171E-2</v>
      </c>
      <c r="I479" s="4">
        <f t="shared" si="21"/>
        <v>-7.9534384891312704E-3</v>
      </c>
      <c r="J479" s="4">
        <f t="shared" si="22"/>
        <v>1.5569999999999999E-2</v>
      </c>
    </row>
    <row r="480" spans="1:10" x14ac:dyDescent="0.3">
      <c r="A480" s="1">
        <v>41121</v>
      </c>
      <c r="B480" s="3">
        <v>15.4</v>
      </c>
      <c r="C480" s="3">
        <v>1.47</v>
      </c>
      <c r="D480" s="3">
        <v>228.59</v>
      </c>
      <c r="E480" s="3">
        <v>89.25</v>
      </c>
      <c r="F480" s="3">
        <v>0.106</v>
      </c>
      <c r="G480" s="9">
        <f t="shared" si="23"/>
        <v>6.7583732057416412E-2</v>
      </c>
      <c r="H480" s="8">
        <f t="shared" si="20"/>
        <v>1.0196078431372602E-2</v>
      </c>
      <c r="I480" s="4">
        <f t="shared" si="21"/>
        <v>-9.4851445495329114E-3</v>
      </c>
      <c r="J480" s="4">
        <f t="shared" si="22"/>
        <v>1.3639999999999999E-2</v>
      </c>
    </row>
    <row r="481" spans="1:10" x14ac:dyDescent="0.3">
      <c r="A481" s="1">
        <v>41152</v>
      </c>
      <c r="B481" s="3">
        <v>15.9</v>
      </c>
      <c r="C481" s="3">
        <v>1.548</v>
      </c>
      <c r="D481" s="3">
        <v>229.91800000000001</v>
      </c>
      <c r="E481" s="3">
        <v>88.35</v>
      </c>
      <c r="F481" s="3">
        <v>9.0999999999999998E-2</v>
      </c>
      <c r="G481" s="9">
        <f t="shared" si="23"/>
        <v>2.9600279687681974E-2</v>
      </c>
      <c r="H481" s="8">
        <f t="shared" si="20"/>
        <v>2.2297679683078719E-2</v>
      </c>
      <c r="I481" s="4">
        <f t="shared" si="21"/>
        <v>-9.0143712971006359E-3</v>
      </c>
      <c r="J481" s="4">
        <f t="shared" si="22"/>
        <v>1.4570000000000001E-2</v>
      </c>
    </row>
    <row r="482" spans="1:10" x14ac:dyDescent="0.3">
      <c r="A482" s="1">
        <v>41180</v>
      </c>
      <c r="B482" s="3">
        <v>16.2</v>
      </c>
      <c r="C482" s="3">
        <v>1.633</v>
      </c>
      <c r="D482" s="3">
        <v>231.01499999999999</v>
      </c>
      <c r="E482" s="3">
        <v>88.39</v>
      </c>
      <c r="F482" s="3">
        <v>9.4E-2</v>
      </c>
      <c r="G482" s="9">
        <f t="shared" si="23"/>
        <v>2.6358569437993529E-2</v>
      </c>
      <c r="H482" s="8">
        <f t="shared" si="20"/>
        <v>2.0816834483538882E-2</v>
      </c>
      <c r="I482" s="4">
        <f t="shared" si="21"/>
        <v>-8.4819368903798591E-3</v>
      </c>
      <c r="J482" s="4">
        <f t="shared" si="22"/>
        <v>1.5389999999999999E-2</v>
      </c>
    </row>
    <row r="483" spans="1:10" x14ac:dyDescent="0.3">
      <c r="A483" s="1">
        <v>41213</v>
      </c>
      <c r="B483" s="3">
        <v>16</v>
      </c>
      <c r="C483" s="3">
        <v>1.694</v>
      </c>
      <c r="D483" s="3">
        <v>231.63800000000001</v>
      </c>
      <c r="E483" s="3">
        <v>88.32</v>
      </c>
      <c r="F483" s="3">
        <v>0.114</v>
      </c>
      <c r="G483" s="9">
        <f t="shared" si="23"/>
        <v>3.7593984962405846E-2</v>
      </c>
      <c r="H483" s="8">
        <f t="shared" si="20"/>
        <v>3.2608695652174058E-2</v>
      </c>
      <c r="I483" s="4">
        <f t="shared" si="21"/>
        <v>-7.9214589574207565E-3</v>
      </c>
      <c r="J483" s="4">
        <f t="shared" si="22"/>
        <v>1.5799999999999998E-2</v>
      </c>
    </row>
    <row r="484" spans="1:10" x14ac:dyDescent="0.3">
      <c r="A484" s="1">
        <v>41243</v>
      </c>
      <c r="B484" s="3">
        <v>16.100000000000001</v>
      </c>
      <c r="C484" s="3">
        <v>1.613</v>
      </c>
      <c r="D484" s="3">
        <v>231.249</v>
      </c>
      <c r="E484" s="3">
        <v>87.96</v>
      </c>
      <c r="F484" s="3">
        <v>8.1000000000000003E-2</v>
      </c>
      <c r="G484" s="9">
        <f t="shared" si="23"/>
        <v>5.3720425191450261E-3</v>
      </c>
      <c r="H484" s="8">
        <f t="shared" si="20"/>
        <v>4.1496134606639368E-2</v>
      </c>
      <c r="I484" s="4">
        <f t="shared" si="21"/>
        <v>-8.3897229813176613E-3</v>
      </c>
      <c r="J484" s="4">
        <f t="shared" si="22"/>
        <v>1.532E-2</v>
      </c>
    </row>
    <row r="485" spans="1:10" x14ac:dyDescent="0.3">
      <c r="A485" s="1">
        <v>41274</v>
      </c>
      <c r="B485" s="3">
        <v>16.2</v>
      </c>
      <c r="C485" s="3">
        <v>1.7569999999999999</v>
      </c>
      <c r="D485" s="3">
        <v>231.221</v>
      </c>
      <c r="E485" s="3">
        <v>88.04</v>
      </c>
      <c r="F485" s="3">
        <v>4.5999999999999999E-2</v>
      </c>
      <c r="G485" s="9">
        <f t="shared" si="23"/>
        <v>5.4819552306990538E-3</v>
      </c>
      <c r="H485" s="8">
        <f t="shared" si="20"/>
        <v>4.7478418900499753E-2</v>
      </c>
      <c r="I485" s="4">
        <f t="shared" si="21"/>
        <v>-6.7681309713193173E-3</v>
      </c>
      <c r="J485" s="4">
        <f t="shared" si="22"/>
        <v>1.711E-2</v>
      </c>
    </row>
    <row r="486" spans="1:10" x14ac:dyDescent="0.3">
      <c r="A486" s="1">
        <v>41305</v>
      </c>
      <c r="B486" s="3">
        <v>17.100000000000001</v>
      </c>
      <c r="C486" s="3">
        <v>1.9850000000000001</v>
      </c>
      <c r="D486" s="3">
        <v>231.679</v>
      </c>
      <c r="E486" s="3">
        <v>87.94</v>
      </c>
      <c r="F486" s="3">
        <v>7.9000000000000001E-2</v>
      </c>
      <c r="G486" s="9">
        <f t="shared" si="23"/>
        <v>-1.5894641235241203E-3</v>
      </c>
      <c r="H486" s="8">
        <f t="shared" si="20"/>
        <v>9.2904252899704387E-2</v>
      </c>
      <c r="I486" s="4">
        <f t="shared" si="21"/>
        <v>-4.2410948477501834E-3</v>
      </c>
      <c r="J486" s="4">
        <f t="shared" si="22"/>
        <v>1.9060000000000001E-2</v>
      </c>
    </row>
    <row r="487" spans="1:10" x14ac:dyDescent="0.3">
      <c r="A487" s="1">
        <v>41333</v>
      </c>
      <c r="B487" s="3">
        <v>17.5</v>
      </c>
      <c r="C487" s="3">
        <v>1.881</v>
      </c>
      <c r="D487" s="3">
        <v>232.93700000000001</v>
      </c>
      <c r="E487" s="3">
        <v>86.62</v>
      </c>
      <c r="F487" s="3">
        <v>0.106</v>
      </c>
      <c r="G487" s="9">
        <f t="shared" si="23"/>
        <v>4.6200046200062239E-4</v>
      </c>
      <c r="H487" s="8">
        <f t="shared" si="20"/>
        <v>0.11960286308012003</v>
      </c>
      <c r="I487" s="4">
        <f t="shared" si="21"/>
        <v>-5.2763561663173794E-3</v>
      </c>
      <c r="J487" s="4">
        <f t="shared" si="22"/>
        <v>1.7749999999999998E-2</v>
      </c>
    </row>
    <row r="488" spans="1:10" x14ac:dyDescent="0.3">
      <c r="A488" s="1">
        <v>41362</v>
      </c>
      <c r="B488" s="3">
        <v>18.2</v>
      </c>
      <c r="C488" s="3">
        <v>1.8520000000000001</v>
      </c>
      <c r="D488" s="3">
        <v>232.28200000000001</v>
      </c>
      <c r="E488" s="3">
        <v>86.59</v>
      </c>
      <c r="F488" s="3">
        <v>7.0999999999999994E-2</v>
      </c>
      <c r="G488" s="9">
        <f t="shared" si="23"/>
        <v>2.7793862188767449E-3</v>
      </c>
      <c r="H488" s="8">
        <f t="shared" si="20"/>
        <v>0.12218500981637592</v>
      </c>
      <c r="I488" s="4">
        <f t="shared" si="21"/>
        <v>-5.110889246051499E-3</v>
      </c>
      <c r="J488" s="4">
        <f t="shared" si="22"/>
        <v>1.7810000000000003E-2</v>
      </c>
    </row>
    <row r="489" spans="1:10" x14ac:dyDescent="0.3">
      <c r="A489" s="1">
        <v>41394</v>
      </c>
      <c r="B489" s="3">
        <v>18.3</v>
      </c>
      <c r="C489" s="3">
        <v>1.673</v>
      </c>
      <c r="D489" s="3">
        <v>231.797</v>
      </c>
      <c r="E489" s="3">
        <v>87.75</v>
      </c>
      <c r="F489" s="3">
        <v>5.0999999999999997E-2</v>
      </c>
      <c r="G489" s="9">
        <f t="shared" si="23"/>
        <v>-2.0470829068578444E-3</v>
      </c>
      <c r="H489" s="8">
        <f t="shared" si="20"/>
        <v>0.10119658119658115</v>
      </c>
      <c r="I489" s="4">
        <f t="shared" si="21"/>
        <v>-7.0773289985443175E-3</v>
      </c>
      <c r="J489" s="4">
        <f t="shared" si="22"/>
        <v>1.6220000000000002E-2</v>
      </c>
    </row>
    <row r="490" spans="1:10" x14ac:dyDescent="0.3">
      <c r="A490" s="1">
        <v>41425</v>
      </c>
      <c r="B490" s="3">
        <v>18.5</v>
      </c>
      <c r="C490" s="3">
        <v>2.1320000000000001</v>
      </c>
      <c r="D490" s="3">
        <v>231.893</v>
      </c>
      <c r="E490" s="3">
        <v>87.91</v>
      </c>
      <c r="F490" s="3">
        <v>3.7999999999999999E-2</v>
      </c>
      <c r="G490" s="9">
        <f t="shared" si="23"/>
        <v>-1.302346469069271E-2</v>
      </c>
      <c r="H490" s="8">
        <f t="shared" si="20"/>
        <v>9.885109771357059E-2</v>
      </c>
      <c r="I490" s="4">
        <f t="shared" si="21"/>
        <v>-2.6975347995930078E-3</v>
      </c>
      <c r="J490" s="4">
        <f t="shared" si="22"/>
        <v>2.0940000000000004E-2</v>
      </c>
    </row>
    <row r="491" spans="1:10" x14ac:dyDescent="0.3">
      <c r="A491" s="1">
        <v>41453</v>
      </c>
      <c r="B491" s="3">
        <v>18.2</v>
      </c>
      <c r="C491" s="3">
        <v>2.4740000000000002</v>
      </c>
      <c r="D491" s="3">
        <v>232.44499999999999</v>
      </c>
      <c r="E491" s="3">
        <v>87.99</v>
      </c>
      <c r="F491" s="3">
        <v>3.5000000000000003E-2</v>
      </c>
      <c r="G491" s="9">
        <f t="shared" si="23"/>
        <v>-1.1903425042111171E-2</v>
      </c>
      <c r="H491" s="8">
        <f t="shared" si="20"/>
        <v>9.6715535856347401E-2</v>
      </c>
      <c r="I491" s="4">
        <f t="shared" si="21"/>
        <v>5.9090293352672199E-4</v>
      </c>
      <c r="J491" s="4">
        <f t="shared" si="22"/>
        <v>2.4390000000000002E-2</v>
      </c>
    </row>
    <row r="492" spans="1:10" x14ac:dyDescent="0.3">
      <c r="A492" s="1">
        <v>41486</v>
      </c>
      <c r="B492" s="3">
        <v>18.7</v>
      </c>
      <c r="C492" s="3">
        <v>2.5880000000000001</v>
      </c>
      <c r="D492" s="3">
        <v>232.9</v>
      </c>
      <c r="E492" s="3">
        <v>90.16</v>
      </c>
      <c r="F492" s="3">
        <v>3.7999999999999999E-2</v>
      </c>
      <c r="G492" s="9">
        <f t="shared" si="23"/>
        <v>1.0196078431372602E-2</v>
      </c>
      <c r="H492" s="8">
        <f t="shared" si="20"/>
        <v>6.2333629103815458E-2</v>
      </c>
      <c r="I492" s="4">
        <f t="shared" si="21"/>
        <v>1.8656722457682656E-3</v>
      </c>
      <c r="J492" s="4">
        <f t="shared" si="22"/>
        <v>2.5500000000000002E-2</v>
      </c>
    </row>
    <row r="493" spans="1:10" x14ac:dyDescent="0.3">
      <c r="A493" s="1">
        <v>41516</v>
      </c>
      <c r="B493" s="3">
        <v>18.100000000000001</v>
      </c>
      <c r="C493" s="3">
        <v>2.7890000000000001</v>
      </c>
      <c r="D493" s="3">
        <v>233.45599999999999</v>
      </c>
      <c r="E493" s="3">
        <v>90.32</v>
      </c>
      <c r="F493" s="3">
        <v>2.5000000000000001E-2</v>
      </c>
      <c r="G493" s="9">
        <f t="shared" si="23"/>
        <v>2.2297679683078719E-2</v>
      </c>
      <c r="H493" s="8">
        <f t="shared" si="20"/>
        <v>7.5398582816651905E-2</v>
      </c>
      <c r="I493" s="4">
        <f t="shared" si="21"/>
        <v>4.0764643912276945E-3</v>
      </c>
      <c r="J493" s="4">
        <f t="shared" si="22"/>
        <v>2.7640000000000001E-2</v>
      </c>
    </row>
    <row r="494" spans="1:10" x14ac:dyDescent="0.3">
      <c r="A494" s="1">
        <v>41547</v>
      </c>
      <c r="B494" s="3">
        <v>18.7</v>
      </c>
      <c r="C494" s="3">
        <v>2.6150000000000002</v>
      </c>
      <c r="D494" s="3">
        <v>233.54400000000001</v>
      </c>
      <c r="E494" s="3">
        <v>90.23</v>
      </c>
      <c r="F494" s="3">
        <v>1.4999999999999999E-2</v>
      </c>
      <c r="G494" s="9">
        <f t="shared" si="23"/>
        <v>2.0816834483538882E-2</v>
      </c>
      <c r="H494" s="8">
        <f t="shared" si="20"/>
        <v>7.7912002659869195E-2</v>
      </c>
      <c r="I494" s="4">
        <f t="shared" si="21"/>
        <v>2.6302446814908641E-3</v>
      </c>
      <c r="J494" s="4">
        <f t="shared" si="22"/>
        <v>2.6000000000000002E-2</v>
      </c>
    </row>
    <row r="495" spans="1:10" x14ac:dyDescent="0.3">
      <c r="A495" s="1">
        <v>41578</v>
      </c>
      <c r="B495" s="3">
        <v>19.3</v>
      </c>
      <c r="C495" s="3">
        <v>2.5430000000000001</v>
      </c>
      <c r="D495" s="3">
        <v>233.66900000000001</v>
      </c>
      <c r="E495" s="3">
        <v>91.2</v>
      </c>
      <c r="F495" s="3">
        <v>3.7999999999999999E-2</v>
      </c>
      <c r="G495" s="9">
        <f t="shared" si="23"/>
        <v>3.2608695652174058E-2</v>
      </c>
      <c r="H495" s="8">
        <f t="shared" si="20"/>
        <v>8.8925438596491269E-2</v>
      </c>
      <c r="I495" s="4">
        <f t="shared" si="21"/>
        <v>1.7448132185435214E-3</v>
      </c>
      <c r="J495" s="4">
        <f t="shared" si="22"/>
        <v>2.5050000000000003E-2</v>
      </c>
    </row>
    <row r="496" spans="1:10" x14ac:dyDescent="0.3">
      <c r="A496" s="1">
        <v>41607</v>
      </c>
      <c r="B496" s="3">
        <v>19.600000000000001</v>
      </c>
      <c r="C496" s="3">
        <v>2.7410000000000001</v>
      </c>
      <c r="D496" s="3">
        <v>234.1</v>
      </c>
      <c r="E496" s="3">
        <v>91.61</v>
      </c>
      <c r="F496" s="3">
        <v>6.0999999999999999E-2</v>
      </c>
      <c r="G496" s="9">
        <f t="shared" si="23"/>
        <v>4.1496134606639368E-2</v>
      </c>
      <c r="H496" s="8">
        <f t="shared" si="20"/>
        <v>0.10708437943455951</v>
      </c>
      <c r="I496" s="4">
        <f t="shared" si="21"/>
        <v>3.5915101068973547E-3</v>
      </c>
      <c r="J496" s="4">
        <f t="shared" si="22"/>
        <v>2.6800000000000001E-2</v>
      </c>
    </row>
    <row r="497" spans="1:10" x14ac:dyDescent="0.3">
      <c r="A497" s="1">
        <v>41639</v>
      </c>
      <c r="B497" s="3">
        <v>20</v>
      </c>
      <c r="C497" s="3">
        <v>3.0059999999999998</v>
      </c>
      <c r="D497" s="3">
        <v>234.71899999999999</v>
      </c>
      <c r="E497" s="3">
        <v>92.22</v>
      </c>
      <c r="F497" s="3">
        <v>7.2999999999999995E-2</v>
      </c>
      <c r="G497" s="9">
        <f t="shared" si="23"/>
        <v>4.7478418900499753E-2</v>
      </c>
      <c r="H497" s="8">
        <f t="shared" si="20"/>
        <v>9.9653003686835717E-2</v>
      </c>
      <c r="I497" s="4">
        <f t="shared" si="21"/>
        <v>6.2474868833635386E-3</v>
      </c>
      <c r="J497" s="4">
        <f t="shared" si="22"/>
        <v>2.9329999999999998E-2</v>
      </c>
    </row>
    <row r="498" spans="1:10" x14ac:dyDescent="0.3">
      <c r="A498" s="1">
        <v>41670</v>
      </c>
      <c r="B498" s="3">
        <v>18.600000000000001</v>
      </c>
      <c r="C498" s="3">
        <v>2.6659999999999999</v>
      </c>
      <c r="D498" s="3">
        <v>235.28800000000001</v>
      </c>
      <c r="E498" s="3">
        <v>96.11</v>
      </c>
      <c r="F498" s="3">
        <v>0.02</v>
      </c>
      <c r="G498" s="9">
        <f t="shared" si="23"/>
        <v>9.2904252899704387E-2</v>
      </c>
      <c r="H498" s="8">
        <f t="shared" si="20"/>
        <v>2.2474248257205343E-2</v>
      </c>
      <c r="I498" s="4">
        <f t="shared" si="21"/>
        <v>3.0401660157602754E-3</v>
      </c>
      <c r="J498" s="4">
        <f t="shared" si="22"/>
        <v>2.6459999999999997E-2</v>
      </c>
    </row>
    <row r="499" spans="1:10" x14ac:dyDescent="0.3">
      <c r="A499" s="1">
        <v>41698</v>
      </c>
      <c r="B499" s="3">
        <v>19.2</v>
      </c>
      <c r="C499" s="3">
        <v>2.66</v>
      </c>
      <c r="D499" s="3">
        <v>235.547</v>
      </c>
      <c r="E499" s="3">
        <v>96.98</v>
      </c>
      <c r="F499" s="3">
        <v>5.0999999999999997E-2</v>
      </c>
      <c r="G499" s="9">
        <f t="shared" si="23"/>
        <v>0.11960286308012003</v>
      </c>
      <c r="H499" s="8">
        <f t="shared" si="20"/>
        <v>1.5260878531655919E-2</v>
      </c>
      <c r="I499" s="4">
        <f t="shared" si="21"/>
        <v>3.0870877316125263E-3</v>
      </c>
      <c r="J499" s="4">
        <f t="shared" si="22"/>
        <v>2.6089999999999999E-2</v>
      </c>
    </row>
    <row r="500" spans="1:10" x14ac:dyDescent="0.3">
      <c r="A500" s="1">
        <v>41729</v>
      </c>
      <c r="B500" s="3">
        <v>19.2</v>
      </c>
      <c r="C500" s="3">
        <v>2.7189999999999999</v>
      </c>
      <c r="D500" s="3">
        <v>236.02799999999999</v>
      </c>
      <c r="E500" s="3">
        <v>97.17</v>
      </c>
      <c r="F500" s="3">
        <v>4.5999999999999999E-2</v>
      </c>
      <c r="G500" s="9">
        <f t="shared" si="23"/>
        <v>0.12218500981637592</v>
      </c>
      <c r="H500" s="8">
        <f t="shared" si="20"/>
        <v>1.0599979417515781E-2</v>
      </c>
      <c r="I500" s="4">
        <f t="shared" si="21"/>
        <v>3.6873442613689147E-3</v>
      </c>
      <c r="J500" s="4">
        <f t="shared" si="22"/>
        <v>2.673E-2</v>
      </c>
    </row>
    <row r="501" spans="1:10" x14ac:dyDescent="0.3">
      <c r="A501" s="1">
        <v>41759</v>
      </c>
      <c r="B501" s="3">
        <v>19.399999999999999</v>
      </c>
      <c r="C501" s="3">
        <v>2.6459999999999999</v>
      </c>
      <c r="D501" s="3">
        <v>236.46799999999999</v>
      </c>
      <c r="E501" s="3">
        <v>96.63</v>
      </c>
      <c r="F501" s="3">
        <v>2.5000000000000001E-2</v>
      </c>
      <c r="G501" s="9">
        <f t="shared" si="23"/>
        <v>0.10119658119658115</v>
      </c>
      <c r="H501" s="8">
        <f t="shared" si="20"/>
        <v>1.5937079581910485E-2</v>
      </c>
      <c r="I501" s="4">
        <f t="shared" si="21"/>
        <v>2.9307007440640548E-3</v>
      </c>
      <c r="J501" s="4">
        <f t="shared" si="22"/>
        <v>2.6210000000000001E-2</v>
      </c>
    </row>
    <row r="502" spans="1:10" x14ac:dyDescent="0.3">
      <c r="A502" s="1">
        <v>41789</v>
      </c>
      <c r="B502" s="3">
        <v>19.8</v>
      </c>
      <c r="C502" s="3">
        <v>2.4750000000000001</v>
      </c>
      <c r="D502" s="3">
        <v>236.91800000000001</v>
      </c>
      <c r="E502" s="3">
        <v>96.6</v>
      </c>
      <c r="F502" s="3">
        <v>3.5000000000000003E-2</v>
      </c>
      <c r="G502" s="9">
        <f t="shared" si="23"/>
        <v>9.885109771357059E-2</v>
      </c>
      <c r="H502" s="8">
        <f t="shared" si="20"/>
        <v>7.8674948240167186E-3</v>
      </c>
      <c r="I502" s="4">
        <f t="shared" si="21"/>
        <v>1.4620880233235448E-3</v>
      </c>
      <c r="J502" s="4">
        <f t="shared" si="22"/>
        <v>2.4399999999999998E-2</v>
      </c>
    </row>
    <row r="503" spans="1:10" x14ac:dyDescent="0.3">
      <c r="A503" s="1">
        <v>41820</v>
      </c>
      <c r="B503" s="3">
        <v>20.3</v>
      </c>
      <c r="C503" s="3">
        <v>2.532</v>
      </c>
      <c r="D503" s="3">
        <v>237.23099999999999</v>
      </c>
      <c r="E503" s="3">
        <v>96.5</v>
      </c>
      <c r="F503" s="3">
        <v>4.5999999999999999E-2</v>
      </c>
      <c r="G503" s="9">
        <f t="shared" si="23"/>
        <v>9.6715535856347401E-2</v>
      </c>
      <c r="H503" s="8">
        <f t="shared" si="20"/>
        <v>7.2538860103628089E-3</v>
      </c>
      <c r="I503" s="4">
        <f t="shared" si="21"/>
        <v>2.2768585889101252E-3</v>
      </c>
      <c r="J503" s="4">
        <f t="shared" si="22"/>
        <v>2.4860000000000004E-2</v>
      </c>
    </row>
    <row r="504" spans="1:10" x14ac:dyDescent="0.3">
      <c r="A504" s="1">
        <v>41851</v>
      </c>
      <c r="B504" s="3">
        <v>20</v>
      </c>
      <c r="C504" s="3">
        <v>2.5609999999999999</v>
      </c>
      <c r="D504" s="3">
        <v>237.49799999999999</v>
      </c>
      <c r="E504" s="3">
        <v>95.78</v>
      </c>
      <c r="F504" s="3">
        <v>2.5000000000000001E-2</v>
      </c>
      <c r="G504" s="9">
        <f t="shared" si="23"/>
        <v>6.2333629103815458E-2</v>
      </c>
      <c r="H504" s="8">
        <f t="shared" si="20"/>
        <v>1.5869701399039426E-2</v>
      </c>
      <c r="I504" s="4">
        <f t="shared" si="21"/>
        <v>2.5600398561976614E-3</v>
      </c>
      <c r="J504" s="4">
        <f t="shared" si="22"/>
        <v>2.5360000000000001E-2</v>
      </c>
    </row>
    <row r="505" spans="1:10" x14ac:dyDescent="0.3">
      <c r="A505" s="1">
        <v>41880</v>
      </c>
      <c r="B505" s="3">
        <v>20.6</v>
      </c>
      <c r="C505" s="3">
        <v>2.3450000000000002</v>
      </c>
      <c r="D505" s="3">
        <v>237.46</v>
      </c>
      <c r="E505" s="3">
        <v>97.13</v>
      </c>
      <c r="F505" s="3">
        <v>2.5000000000000001E-2</v>
      </c>
      <c r="G505" s="9">
        <f t="shared" si="23"/>
        <v>7.5398582816651905E-2</v>
      </c>
      <c r="H505" s="8">
        <f t="shared" si="20"/>
        <v>-9.4718418614228028E-3</v>
      </c>
      <c r="I505" s="4">
        <f t="shared" si="21"/>
        <v>4.7049437978422329E-4</v>
      </c>
      <c r="J505" s="4">
        <f t="shared" si="22"/>
        <v>2.3200000000000002E-2</v>
      </c>
    </row>
    <row r="506" spans="1:10" x14ac:dyDescent="0.3">
      <c r="A506" s="1">
        <v>41912</v>
      </c>
      <c r="B506" s="3">
        <v>20.100000000000001</v>
      </c>
      <c r="C506" s="3">
        <v>2.4950000000000001</v>
      </c>
      <c r="D506" s="3">
        <v>237.477</v>
      </c>
      <c r="E506" s="3">
        <v>97.26</v>
      </c>
      <c r="F506" s="3">
        <v>2.3E-2</v>
      </c>
      <c r="G506" s="9">
        <f t="shared" si="23"/>
        <v>7.7912002659869195E-2</v>
      </c>
      <c r="H506" s="8">
        <f t="shared" si="20"/>
        <v>-1.1001439440674554E-2</v>
      </c>
      <c r="I506" s="4">
        <f t="shared" si="21"/>
        <v>2.287020844335047E-3</v>
      </c>
      <c r="J506" s="4">
        <f t="shared" si="22"/>
        <v>2.4719999999999999E-2</v>
      </c>
    </row>
    <row r="507" spans="1:10" x14ac:dyDescent="0.3">
      <c r="A507" s="1">
        <v>41943</v>
      </c>
      <c r="B507" s="3">
        <v>20.2</v>
      </c>
      <c r="C507" s="3">
        <v>2.335</v>
      </c>
      <c r="D507" s="3">
        <v>237.43</v>
      </c>
      <c r="E507" s="3">
        <v>99.31</v>
      </c>
      <c r="F507" s="3">
        <v>8.0000000000000002E-3</v>
      </c>
      <c r="G507" s="9">
        <f t="shared" si="23"/>
        <v>8.8925438596491269E-2</v>
      </c>
      <c r="H507" s="8">
        <f t="shared" si="20"/>
        <v>-2.6986204813211234E-2</v>
      </c>
      <c r="I507" s="4">
        <f t="shared" si="21"/>
        <v>1.2445071538098769E-3</v>
      </c>
      <c r="J507" s="4">
        <f t="shared" si="22"/>
        <v>2.3269999999999999E-2</v>
      </c>
    </row>
    <row r="508" spans="1:10" x14ac:dyDescent="0.3">
      <c r="A508" s="1">
        <v>41971</v>
      </c>
      <c r="B508" s="3">
        <v>20.2</v>
      </c>
      <c r="C508" s="3">
        <v>2.173</v>
      </c>
      <c r="D508" s="3">
        <v>236.983</v>
      </c>
      <c r="E508" s="3">
        <v>101.42</v>
      </c>
      <c r="F508" s="3">
        <v>1.2999999999999999E-2</v>
      </c>
      <c r="G508" s="9">
        <f t="shared" si="23"/>
        <v>0.10708437943455951</v>
      </c>
      <c r="H508" s="8">
        <f t="shared" si="20"/>
        <v>-5.8173930191283807E-2</v>
      </c>
      <c r="I508" s="4">
        <f t="shared" si="21"/>
        <v>2.9788604191535728E-4</v>
      </c>
      <c r="J508" s="4">
        <f t="shared" si="22"/>
        <v>2.1600000000000001E-2</v>
      </c>
    </row>
    <row r="509" spans="1:10" x14ac:dyDescent="0.3">
      <c r="A509" s="1">
        <v>42004</v>
      </c>
      <c r="B509" s="3">
        <v>20.100000000000001</v>
      </c>
      <c r="C509" s="3">
        <v>2.17</v>
      </c>
      <c r="D509" s="3">
        <v>236.25200000000001</v>
      </c>
      <c r="E509" s="3">
        <v>101.41</v>
      </c>
      <c r="F509" s="3">
        <v>4.1000000000000002E-2</v>
      </c>
      <c r="G509" s="9">
        <f t="shared" si="23"/>
        <v>9.9653003686835717E-2</v>
      </c>
      <c r="H509" s="8">
        <f t="shared" si="20"/>
        <v>-5.6404693817177831E-2</v>
      </c>
      <c r="I509" s="4">
        <f t="shared" si="21"/>
        <v>5.8339615599884223E-4</v>
      </c>
      <c r="J509" s="4">
        <f t="shared" si="22"/>
        <v>2.129E-2</v>
      </c>
    </row>
    <row r="510" spans="1:10" x14ac:dyDescent="0.3">
      <c r="A510" s="1">
        <v>42034</v>
      </c>
      <c r="B510" s="3">
        <v>20.3</v>
      </c>
      <c r="C510" s="3">
        <v>1.639</v>
      </c>
      <c r="D510" s="3">
        <v>234.74700000000001</v>
      </c>
      <c r="E510" s="3">
        <v>98.27</v>
      </c>
      <c r="F510" s="3">
        <v>1.2999999999999999E-2</v>
      </c>
      <c r="G510" s="9">
        <f t="shared" si="23"/>
        <v>2.2474248257205343E-2</v>
      </c>
      <c r="H510" s="8">
        <f t="shared" si="20"/>
        <v>-9.667243309250062E-3</v>
      </c>
      <c r="I510" s="4">
        <f t="shared" si="21"/>
        <v>-4.1274956264249069E-3</v>
      </c>
      <c r="J510" s="4">
        <f t="shared" si="22"/>
        <v>1.626E-2</v>
      </c>
    </row>
    <row r="511" spans="1:10" x14ac:dyDescent="0.3">
      <c r="A511" s="1">
        <v>42062</v>
      </c>
      <c r="B511" s="3">
        <v>21.3</v>
      </c>
      <c r="C511" s="3">
        <v>1.996</v>
      </c>
      <c r="D511" s="3">
        <v>235.34200000000001</v>
      </c>
      <c r="E511" s="3">
        <v>98.46</v>
      </c>
      <c r="F511" s="3">
        <v>1.4999999999999999E-2</v>
      </c>
      <c r="G511" s="9">
        <f t="shared" si="23"/>
        <v>1.5260878531655919E-2</v>
      </c>
      <c r="H511" s="8">
        <f t="shared" ref="H511:H574" si="24">G523</f>
        <v>-2.0109689213893889E-2</v>
      </c>
      <c r="I511" s="4">
        <f t="shared" ref="I511:I574" si="25">C511%-((D511/D391)^(1/10)-1)</f>
        <v>-3.9063059499497982E-4</v>
      </c>
      <c r="J511" s="4">
        <f t="shared" ref="J511:J574" si="26">(C511-F511)%</f>
        <v>1.9810000000000001E-2</v>
      </c>
    </row>
    <row r="512" spans="1:10" x14ac:dyDescent="0.3">
      <c r="A512" s="1">
        <v>42094</v>
      </c>
      <c r="B512" s="3">
        <v>21.1</v>
      </c>
      <c r="C512" s="3">
        <v>1.927</v>
      </c>
      <c r="D512" s="3">
        <v>235.976</v>
      </c>
      <c r="E512" s="3">
        <v>98.2</v>
      </c>
      <c r="F512" s="3">
        <v>3.5999999999999997E-2</v>
      </c>
      <c r="G512" s="9">
        <f t="shared" si="23"/>
        <v>1.0599979417515781E-2</v>
      </c>
      <c r="H512" s="8">
        <f t="shared" si="24"/>
        <v>-1.3543788187372674E-2</v>
      </c>
      <c r="I512" s="4">
        <f t="shared" si="25"/>
        <v>-9.8458730599094643E-4</v>
      </c>
      <c r="J512" s="4">
        <f t="shared" si="26"/>
        <v>1.891E-2</v>
      </c>
    </row>
    <row r="513" spans="1:10" x14ac:dyDescent="0.3">
      <c r="A513" s="1">
        <v>42124</v>
      </c>
      <c r="B513" s="3">
        <v>21.1</v>
      </c>
      <c r="C513" s="3">
        <v>2.0350000000000001</v>
      </c>
      <c r="D513" s="3">
        <v>236.22200000000001</v>
      </c>
      <c r="E513" s="3">
        <v>98.17</v>
      </c>
      <c r="F513" s="3">
        <v>5.0000000000000001E-3</v>
      </c>
      <c r="G513" s="9">
        <f t="shared" si="23"/>
        <v>1.5937079581910485E-2</v>
      </c>
      <c r="H513" s="8">
        <f t="shared" si="24"/>
        <v>-6.8248955892838969E-3</v>
      </c>
      <c r="I513" s="4">
        <f t="shared" si="25"/>
        <v>3.0560889347754777E-4</v>
      </c>
      <c r="J513" s="4">
        <f t="shared" si="26"/>
        <v>2.0300000000000002E-2</v>
      </c>
    </row>
    <row r="514" spans="1:10" x14ac:dyDescent="0.3">
      <c r="A514" s="1">
        <v>42153</v>
      </c>
      <c r="B514" s="3">
        <v>21.5</v>
      </c>
      <c r="C514" s="3">
        <v>2.1230000000000002</v>
      </c>
      <c r="D514" s="3">
        <v>237.001</v>
      </c>
      <c r="E514" s="3">
        <v>97.36</v>
      </c>
      <c r="F514" s="3">
        <v>3.0000000000000001E-3</v>
      </c>
      <c r="G514" s="9">
        <f t="shared" si="23"/>
        <v>7.8674948240167186E-3</v>
      </c>
      <c r="H514" s="8">
        <f t="shared" si="24"/>
        <v>-2.0542317173377622E-3</v>
      </c>
      <c r="I514" s="4">
        <f t="shared" si="25"/>
        <v>7.9702903336223777E-4</v>
      </c>
      <c r="J514" s="4">
        <f t="shared" si="26"/>
        <v>2.12E-2</v>
      </c>
    </row>
    <row r="515" spans="1:10" x14ac:dyDescent="0.3">
      <c r="A515" s="1">
        <v>42185</v>
      </c>
      <c r="B515" s="3">
        <v>21.1</v>
      </c>
      <c r="C515" s="3">
        <v>2.3490000000000002</v>
      </c>
      <c r="D515" s="3">
        <v>237.65700000000001</v>
      </c>
      <c r="E515" s="3">
        <v>97.2</v>
      </c>
      <c r="F515" s="3">
        <v>0.02</v>
      </c>
      <c r="G515" s="9">
        <f t="shared" si="23"/>
        <v>7.2538860103628089E-3</v>
      </c>
      <c r="H515" s="8">
        <f t="shared" si="24"/>
        <v>5.1440329218110925E-4</v>
      </c>
      <c r="I515" s="4">
        <f t="shared" si="25"/>
        <v>2.8276403721847372E-3</v>
      </c>
      <c r="J515" s="4">
        <f t="shared" si="26"/>
        <v>2.3290000000000002E-2</v>
      </c>
    </row>
    <row r="516" spans="1:10" x14ac:dyDescent="0.3">
      <c r="A516" s="1">
        <v>42216</v>
      </c>
      <c r="B516" s="3">
        <v>21.5</v>
      </c>
      <c r="C516" s="3">
        <v>2.1869999999999998</v>
      </c>
      <c r="D516" s="3">
        <v>238.03399999999999</v>
      </c>
      <c r="E516" s="3">
        <v>97.3</v>
      </c>
      <c r="F516" s="3">
        <v>6.4000000000000001E-2</v>
      </c>
      <c r="G516" s="9">
        <f t="shared" si="23"/>
        <v>1.5869701399039426E-2</v>
      </c>
      <c r="H516" s="8">
        <f t="shared" si="24"/>
        <v>-3.8026721479957892E-3</v>
      </c>
      <c r="I516" s="4">
        <f t="shared" si="25"/>
        <v>1.6761161795426048E-3</v>
      </c>
      <c r="J516" s="4">
        <f t="shared" si="26"/>
        <v>2.1229999999999999E-2</v>
      </c>
    </row>
    <row r="517" spans="1:10" x14ac:dyDescent="0.3">
      <c r="A517" s="1">
        <v>42247</v>
      </c>
      <c r="B517" s="3">
        <v>20.399999999999999</v>
      </c>
      <c r="C517" s="3">
        <v>2.214</v>
      </c>
      <c r="D517" s="3">
        <v>238.03299999999999</v>
      </c>
      <c r="E517" s="3">
        <v>96.21</v>
      </c>
      <c r="F517" s="3">
        <v>0.01</v>
      </c>
      <c r="G517" s="9">
        <f t="shared" si="23"/>
        <v>-9.4718418614228028E-3</v>
      </c>
      <c r="H517" s="8">
        <f t="shared" si="24"/>
        <v>1.4031805425631427E-2</v>
      </c>
      <c r="I517" s="4">
        <f t="shared" si="25"/>
        <v>2.5725602917602911E-3</v>
      </c>
      <c r="J517" s="4">
        <f t="shared" si="26"/>
        <v>2.2040000000000001E-2</v>
      </c>
    </row>
    <row r="518" spans="1:10" x14ac:dyDescent="0.3">
      <c r="A518" s="1">
        <v>42277</v>
      </c>
      <c r="B518" s="3">
        <v>19.8</v>
      </c>
      <c r="C518" s="3">
        <v>2.0350000000000001</v>
      </c>
      <c r="D518" s="3">
        <v>237.49799999999999</v>
      </c>
      <c r="E518" s="3">
        <v>96.19</v>
      </c>
      <c r="F518" s="3">
        <v>8.0000000000000002E-3</v>
      </c>
      <c r="G518" s="9">
        <f t="shared" si="23"/>
        <v>-1.1001439440674554E-2</v>
      </c>
      <c r="H518" s="8">
        <f t="shared" si="24"/>
        <v>1.4658488408358483E-2</v>
      </c>
      <c r="I518" s="4">
        <f t="shared" si="25"/>
        <v>2.4048965233080186E-3</v>
      </c>
      <c r="J518" s="4">
        <f t="shared" si="26"/>
        <v>2.027E-2</v>
      </c>
    </row>
    <row r="519" spans="1:10" x14ac:dyDescent="0.3">
      <c r="A519" s="1">
        <v>42307</v>
      </c>
      <c r="B519" s="3">
        <v>21.2</v>
      </c>
      <c r="C519" s="3">
        <v>2.1459999999999999</v>
      </c>
      <c r="D519" s="3">
        <v>237.733</v>
      </c>
      <c r="E519" s="3">
        <v>96.63</v>
      </c>
      <c r="F519" s="3">
        <v>7.9000000000000001E-2</v>
      </c>
      <c r="G519" s="9">
        <f t="shared" si="23"/>
        <v>-2.6986204813211234E-2</v>
      </c>
      <c r="H519" s="8">
        <f t="shared" si="24"/>
        <v>1.0452240505019139E-2</v>
      </c>
      <c r="I519" s="4">
        <f t="shared" si="25"/>
        <v>3.5677187718918466E-3</v>
      </c>
      <c r="J519" s="4">
        <f t="shared" si="26"/>
        <v>2.0669999999999997E-2</v>
      </c>
    </row>
    <row r="520" spans="1:10" x14ac:dyDescent="0.3">
      <c r="A520" s="1">
        <v>42338</v>
      </c>
      <c r="B520" s="3">
        <v>21.4</v>
      </c>
      <c r="C520" s="3">
        <v>2.2080000000000002</v>
      </c>
      <c r="D520" s="3">
        <v>238.017</v>
      </c>
      <c r="E520" s="3">
        <v>95.52</v>
      </c>
      <c r="F520" s="3">
        <v>0.18099999999999999</v>
      </c>
      <c r="G520" s="9">
        <f t="shared" si="23"/>
        <v>-5.8173930191283807E-2</v>
      </c>
      <c r="H520" s="8">
        <f t="shared" si="24"/>
        <v>2.9313232830820768E-2</v>
      </c>
      <c r="I520" s="4">
        <f t="shared" si="25"/>
        <v>3.5534596687726433E-3</v>
      </c>
      <c r="J520" s="4">
        <f t="shared" si="26"/>
        <v>2.027E-2</v>
      </c>
    </row>
    <row r="521" spans="1:10" x14ac:dyDescent="0.3">
      <c r="A521" s="1">
        <v>42369</v>
      </c>
      <c r="B521" s="3">
        <v>21.1</v>
      </c>
      <c r="C521" s="3">
        <v>2.2749999999999999</v>
      </c>
      <c r="D521" s="3">
        <v>237.761</v>
      </c>
      <c r="E521" s="3">
        <v>95.69</v>
      </c>
      <c r="F521" s="3">
        <v>0.17799999999999999</v>
      </c>
      <c r="G521" s="9">
        <f t="shared" si="23"/>
        <v>-5.6404693817177831E-2</v>
      </c>
      <c r="H521" s="8">
        <f t="shared" si="24"/>
        <v>2.7275577385306615E-2</v>
      </c>
      <c r="I521" s="4">
        <f t="shared" si="25"/>
        <v>4.3330606971107646E-3</v>
      </c>
      <c r="J521" s="4">
        <f t="shared" si="26"/>
        <v>2.0969999999999999E-2</v>
      </c>
    </row>
    <row r="522" spans="1:10" x14ac:dyDescent="0.3">
      <c r="A522" s="1">
        <v>42398</v>
      </c>
      <c r="B522" s="3">
        <v>19.600000000000001</v>
      </c>
      <c r="C522" s="3">
        <v>1.93</v>
      </c>
      <c r="D522" s="3">
        <v>237.65199999999999</v>
      </c>
      <c r="E522" s="3">
        <v>97.32</v>
      </c>
      <c r="F522" s="3">
        <v>0.315</v>
      </c>
      <c r="G522" s="9">
        <f t="shared" si="23"/>
        <v>-9.667243309250062E-3</v>
      </c>
      <c r="H522" s="8">
        <f t="shared" si="24"/>
        <v>1.3049732840115125E-2</v>
      </c>
      <c r="I522" s="4">
        <f t="shared" si="25"/>
        <v>1.5445949663978192E-3</v>
      </c>
      <c r="J522" s="4">
        <f t="shared" si="26"/>
        <v>1.6150000000000001E-2</v>
      </c>
    </row>
    <row r="523" spans="1:10" x14ac:dyDescent="0.3">
      <c r="A523" s="1">
        <v>42429</v>
      </c>
      <c r="B523" s="3">
        <v>19.7</v>
      </c>
      <c r="C523" s="3">
        <v>1.74</v>
      </c>
      <c r="D523" s="3">
        <v>237.33600000000001</v>
      </c>
      <c r="E523" s="3">
        <v>96.48</v>
      </c>
      <c r="F523" s="3">
        <v>0.32300000000000001</v>
      </c>
      <c r="G523" s="9">
        <f t="shared" ref="G523:G586" si="27">E523/E511-1</f>
        <v>-2.0109689213893889E-2</v>
      </c>
      <c r="H523" s="8">
        <f t="shared" si="24"/>
        <v>4.0526533996683156E-2</v>
      </c>
      <c r="I523" s="4">
        <f t="shared" si="25"/>
        <v>-1.6894994333535585E-4</v>
      </c>
      <c r="J523" s="4">
        <f t="shared" si="26"/>
        <v>1.417E-2</v>
      </c>
    </row>
    <row r="524" spans="1:10" x14ac:dyDescent="0.3">
      <c r="A524" s="1">
        <v>42460</v>
      </c>
      <c r="B524" s="3">
        <v>20.9</v>
      </c>
      <c r="C524" s="3">
        <v>1.784</v>
      </c>
      <c r="D524" s="3">
        <v>238.08</v>
      </c>
      <c r="E524" s="3">
        <v>96.87</v>
      </c>
      <c r="F524" s="3">
        <v>0.21299999999999999</v>
      </c>
      <c r="G524" s="9">
        <f t="shared" si="27"/>
        <v>-1.3543788187372674E-2</v>
      </c>
      <c r="H524" s="8">
        <f t="shared" si="24"/>
        <v>3.5511510271497793E-2</v>
      </c>
      <c r="I524" s="4">
        <f t="shared" si="25"/>
        <v>1.0552797689392795E-4</v>
      </c>
      <c r="J524" s="4">
        <f t="shared" si="26"/>
        <v>1.5709999999999998E-2</v>
      </c>
    </row>
    <row r="525" spans="1:10" x14ac:dyDescent="0.3">
      <c r="A525" s="1">
        <v>42489</v>
      </c>
      <c r="B525" s="3">
        <v>20.9</v>
      </c>
      <c r="C525" s="3">
        <v>1.819</v>
      </c>
      <c r="D525" s="3">
        <v>238.99199999999999</v>
      </c>
      <c r="E525" s="3">
        <v>97.5</v>
      </c>
      <c r="F525" s="3">
        <v>0.20499999999999999</v>
      </c>
      <c r="G525" s="9">
        <f t="shared" si="27"/>
        <v>-6.8248955892838969E-3</v>
      </c>
      <c r="H525" s="8">
        <f t="shared" si="24"/>
        <v>2.6358974358974274E-2</v>
      </c>
      <c r="I525" s="4">
        <f t="shared" si="25"/>
        <v>5.7476776451122202E-4</v>
      </c>
      <c r="J525" s="4">
        <f t="shared" si="26"/>
        <v>1.6139999999999998E-2</v>
      </c>
    </row>
    <row r="526" spans="1:10" x14ac:dyDescent="0.3">
      <c r="A526" s="1">
        <v>42521</v>
      </c>
      <c r="B526" s="3">
        <v>21.3</v>
      </c>
      <c r="C526" s="3">
        <v>1.8340000000000001</v>
      </c>
      <c r="D526" s="3">
        <v>239.55699999999999</v>
      </c>
      <c r="E526" s="3">
        <v>97.16</v>
      </c>
      <c r="F526" s="3">
        <v>0.30199999999999999</v>
      </c>
      <c r="G526" s="9">
        <f t="shared" si="27"/>
        <v>-2.0542317173377622E-3</v>
      </c>
      <c r="H526" s="8">
        <f t="shared" si="24"/>
        <v>5.7739810621654897E-2</v>
      </c>
      <c r="I526" s="4">
        <f t="shared" si="25"/>
        <v>7.8824167725597555E-4</v>
      </c>
      <c r="J526" s="4">
        <f t="shared" si="26"/>
        <v>1.532E-2</v>
      </c>
    </row>
    <row r="527" spans="1:10" x14ac:dyDescent="0.3">
      <c r="A527" s="1">
        <v>42551</v>
      </c>
      <c r="B527" s="3">
        <v>21.4</v>
      </c>
      <c r="C527" s="3">
        <v>1.492</v>
      </c>
      <c r="D527" s="3">
        <v>240.22200000000001</v>
      </c>
      <c r="E527" s="3">
        <v>97.25</v>
      </c>
      <c r="F527" s="3">
        <v>0.26600000000000001</v>
      </c>
      <c r="G527" s="9">
        <f t="shared" si="27"/>
        <v>5.1440329218110925E-4</v>
      </c>
      <c r="H527" s="8">
        <f t="shared" si="24"/>
        <v>5.542416452442156E-2</v>
      </c>
      <c r="I527" s="4">
        <f t="shared" si="25"/>
        <v>-2.6614037167956191E-3</v>
      </c>
      <c r="J527" s="4">
        <f t="shared" si="26"/>
        <v>1.226E-2</v>
      </c>
    </row>
    <row r="528" spans="1:10" x14ac:dyDescent="0.3">
      <c r="A528" s="1">
        <v>42580</v>
      </c>
      <c r="B528" s="3">
        <v>22.1</v>
      </c>
      <c r="C528" s="3">
        <v>1.458</v>
      </c>
      <c r="D528" s="3">
        <v>240.101</v>
      </c>
      <c r="E528" s="3">
        <v>96.93</v>
      </c>
      <c r="F528" s="3">
        <v>0.25900000000000001</v>
      </c>
      <c r="G528" s="9">
        <f t="shared" si="27"/>
        <v>-3.8026721479957892E-3</v>
      </c>
      <c r="H528" s="8">
        <f t="shared" si="24"/>
        <v>6.6852367688022163E-2</v>
      </c>
      <c r="I528" s="4">
        <f t="shared" si="25"/>
        <v>-2.3971432483458725E-3</v>
      </c>
      <c r="J528" s="4">
        <f t="shared" si="26"/>
        <v>1.1989999999999999E-2</v>
      </c>
    </row>
    <row r="529" spans="1:10" x14ac:dyDescent="0.3">
      <c r="A529" s="1">
        <v>42613</v>
      </c>
      <c r="B529" s="3">
        <v>21.9</v>
      </c>
      <c r="C529" s="3">
        <v>1.5680000000000001</v>
      </c>
      <c r="D529" s="3">
        <v>240.54499999999999</v>
      </c>
      <c r="E529" s="3">
        <v>97.56</v>
      </c>
      <c r="F529" s="3">
        <v>0.33</v>
      </c>
      <c r="G529" s="9">
        <f t="shared" si="27"/>
        <v>1.4031805425631427E-2</v>
      </c>
      <c r="H529" s="8">
        <f t="shared" si="24"/>
        <v>7.7695776957769525E-2</v>
      </c>
      <c r="I529" s="4">
        <f t="shared" si="25"/>
        <v>-1.0349637432899572E-3</v>
      </c>
      <c r="J529" s="4">
        <f t="shared" si="26"/>
        <v>1.238E-2</v>
      </c>
    </row>
    <row r="530" spans="1:10" x14ac:dyDescent="0.3">
      <c r="A530" s="1">
        <v>42643</v>
      </c>
      <c r="B530" s="3">
        <v>21.9</v>
      </c>
      <c r="C530" s="3">
        <v>1.6060000000000001</v>
      </c>
      <c r="D530" s="3">
        <v>241.17599999999999</v>
      </c>
      <c r="E530" s="3">
        <v>97.6</v>
      </c>
      <c r="F530" s="3">
        <v>0.28399999999999997</v>
      </c>
      <c r="G530" s="9">
        <f t="shared" si="27"/>
        <v>1.4658488408358483E-2</v>
      </c>
      <c r="H530" s="8">
        <f t="shared" si="24"/>
        <v>8.2377049180327955E-2</v>
      </c>
      <c r="I530" s="4">
        <f t="shared" si="25"/>
        <v>-1.421715928556961E-3</v>
      </c>
      <c r="J530" s="4">
        <f t="shared" si="26"/>
        <v>1.3220000000000001E-2</v>
      </c>
    </row>
    <row r="531" spans="1:10" x14ac:dyDescent="0.3">
      <c r="A531" s="1">
        <v>42674</v>
      </c>
      <c r="B531" s="3">
        <v>21.4</v>
      </c>
      <c r="C531" s="3">
        <v>1.8340000000000001</v>
      </c>
      <c r="D531" s="3">
        <v>241.74100000000001</v>
      </c>
      <c r="E531" s="3">
        <v>97.64</v>
      </c>
      <c r="F531" s="3">
        <v>0.309</v>
      </c>
      <c r="G531" s="9">
        <f t="shared" si="27"/>
        <v>1.0452240505019139E-2</v>
      </c>
      <c r="H531" s="8">
        <f t="shared" si="24"/>
        <v>8.6952068824252216E-2</v>
      </c>
      <c r="I531" s="4">
        <f t="shared" si="25"/>
        <v>1.6741416511532187E-4</v>
      </c>
      <c r="J531" s="4">
        <f t="shared" si="26"/>
        <v>1.5250000000000001E-2</v>
      </c>
    </row>
    <row r="532" spans="1:10" x14ac:dyDescent="0.3">
      <c r="A532" s="1">
        <v>42704</v>
      </c>
      <c r="B532" s="3">
        <v>21.9</v>
      </c>
      <c r="C532" s="3">
        <v>2.367</v>
      </c>
      <c r="D532" s="3">
        <v>242.02600000000001</v>
      </c>
      <c r="E532" s="3">
        <v>98.32</v>
      </c>
      <c r="F532" s="3">
        <v>0.48499999999999999</v>
      </c>
      <c r="G532" s="9">
        <f t="shared" si="27"/>
        <v>2.9313232830820768E-2</v>
      </c>
      <c r="H532" s="8">
        <f t="shared" si="24"/>
        <v>8.1061838893409455E-2</v>
      </c>
      <c r="I532" s="4">
        <f t="shared" si="25"/>
        <v>5.427862332329312E-3</v>
      </c>
      <c r="J532" s="4">
        <f t="shared" si="26"/>
        <v>1.882E-2</v>
      </c>
    </row>
    <row r="533" spans="1:10" x14ac:dyDescent="0.3">
      <c r="A533" s="1">
        <v>42734</v>
      </c>
      <c r="B533" s="3">
        <v>22.3</v>
      </c>
      <c r="C533" s="3">
        <v>2.4319999999999999</v>
      </c>
      <c r="D533" s="3">
        <v>242.637</v>
      </c>
      <c r="E533" s="3">
        <v>98.3</v>
      </c>
      <c r="F533" s="3">
        <v>0.502</v>
      </c>
      <c r="G533" s="9">
        <f t="shared" si="27"/>
        <v>2.7275577385306615E-2</v>
      </c>
      <c r="H533" s="8">
        <f t="shared" si="24"/>
        <v>8.6164801627670373E-2</v>
      </c>
      <c r="I533" s="4">
        <f t="shared" si="25"/>
        <v>6.3740696912214408E-3</v>
      </c>
      <c r="J533" s="4">
        <f t="shared" si="26"/>
        <v>1.9299999999999998E-2</v>
      </c>
    </row>
    <row r="534" spans="1:10" x14ac:dyDescent="0.3">
      <c r="A534" s="1">
        <v>42766</v>
      </c>
      <c r="B534" s="3">
        <v>22.7</v>
      </c>
      <c r="C534" s="3">
        <v>2.4510000000000001</v>
      </c>
      <c r="D534" s="3">
        <v>243.61799999999999</v>
      </c>
      <c r="E534" s="3">
        <v>98.59</v>
      </c>
      <c r="F534" s="3">
        <v>0.51800000000000002</v>
      </c>
      <c r="G534" s="9">
        <f t="shared" si="27"/>
        <v>1.3049732840115125E-2</v>
      </c>
      <c r="H534" s="8">
        <f t="shared" si="24"/>
        <v>7.5768333502383545E-2</v>
      </c>
      <c r="I534" s="4">
        <f t="shared" si="25"/>
        <v>6.3220732117112675E-3</v>
      </c>
      <c r="J534" s="4">
        <f t="shared" si="26"/>
        <v>1.933E-2</v>
      </c>
    </row>
    <row r="535" spans="1:10" x14ac:dyDescent="0.3">
      <c r="A535" s="1">
        <v>42794</v>
      </c>
      <c r="B535" s="3">
        <v>23.1</v>
      </c>
      <c r="C535" s="3">
        <v>2.3580000000000001</v>
      </c>
      <c r="D535" s="3">
        <v>244.006</v>
      </c>
      <c r="E535" s="3">
        <v>100.39</v>
      </c>
      <c r="F535" s="3">
        <v>0.54100000000000004</v>
      </c>
      <c r="G535" s="9">
        <f t="shared" si="27"/>
        <v>4.0526533996683156E-2</v>
      </c>
      <c r="H535" s="8">
        <f t="shared" si="24"/>
        <v>5.4188664209582571E-2</v>
      </c>
      <c r="I535" s="4">
        <f t="shared" si="25"/>
        <v>5.624138495382857E-3</v>
      </c>
      <c r="J535" s="4">
        <f t="shared" si="26"/>
        <v>1.8170000000000002E-2</v>
      </c>
    </row>
    <row r="536" spans="1:10" x14ac:dyDescent="0.3">
      <c r="A536" s="1">
        <v>42825</v>
      </c>
      <c r="B536" s="3">
        <v>23</v>
      </c>
      <c r="C536" s="3">
        <v>2.395</v>
      </c>
      <c r="D536" s="3">
        <v>243.892</v>
      </c>
      <c r="E536" s="3">
        <v>100.31</v>
      </c>
      <c r="F536" s="3">
        <v>0.76200000000000001</v>
      </c>
      <c r="G536" s="9">
        <f t="shared" si="27"/>
        <v>3.5511510271497793E-2</v>
      </c>
      <c r="H536" s="8">
        <f t="shared" si="24"/>
        <v>7.7260492473332665E-2</v>
      </c>
      <c r="I536" s="4">
        <f t="shared" si="25"/>
        <v>6.5695238182360283E-3</v>
      </c>
      <c r="J536" s="4">
        <f t="shared" si="26"/>
        <v>1.6330000000000001E-2</v>
      </c>
    </row>
    <row r="537" spans="1:10" x14ac:dyDescent="0.3">
      <c r="A537" s="1">
        <v>42853</v>
      </c>
      <c r="B537" s="3">
        <v>23.3</v>
      </c>
      <c r="C537" s="3">
        <v>2.282</v>
      </c>
      <c r="D537" s="3">
        <v>244.19300000000001</v>
      </c>
      <c r="E537" s="3">
        <v>100.07</v>
      </c>
      <c r="F537" s="3">
        <v>0.80300000000000005</v>
      </c>
      <c r="G537" s="9">
        <f t="shared" si="27"/>
        <v>2.6358974358974274E-2</v>
      </c>
      <c r="H537" s="8">
        <f t="shared" si="24"/>
        <v>0.11312081542919961</v>
      </c>
      <c r="I537" s="4">
        <f t="shared" si="25"/>
        <v>5.6188495636956756E-3</v>
      </c>
      <c r="J537" s="4">
        <f t="shared" si="26"/>
        <v>1.4790000000000001E-2</v>
      </c>
    </row>
    <row r="538" spans="1:10" x14ac:dyDescent="0.3">
      <c r="A538" s="1">
        <v>42886</v>
      </c>
      <c r="B538" s="3">
        <v>22.9</v>
      </c>
      <c r="C538" s="3">
        <v>2.198</v>
      </c>
      <c r="D538" s="3">
        <v>244.00399999999999</v>
      </c>
      <c r="E538" s="3">
        <v>102.77</v>
      </c>
      <c r="F538" s="3">
        <v>0.97799999999999998</v>
      </c>
      <c r="G538" s="9">
        <f t="shared" si="27"/>
        <v>5.7739810621654897E-2</v>
      </c>
      <c r="H538" s="8">
        <f t="shared" si="24"/>
        <v>9.5553176997178246E-2</v>
      </c>
      <c r="I538" s="4">
        <f t="shared" si="25"/>
        <v>5.2770293809166757E-3</v>
      </c>
      <c r="J538" s="4">
        <f t="shared" si="26"/>
        <v>1.2199999999999999E-2</v>
      </c>
    </row>
    <row r="539" spans="1:10" x14ac:dyDescent="0.3">
      <c r="A539" s="1">
        <v>42916</v>
      </c>
      <c r="B539" s="3">
        <v>23.1</v>
      </c>
      <c r="C539" s="3">
        <v>2.302</v>
      </c>
      <c r="D539" s="3">
        <v>244.16300000000001</v>
      </c>
      <c r="E539" s="3">
        <v>102.64</v>
      </c>
      <c r="F539" s="3">
        <v>1.0209999999999999</v>
      </c>
      <c r="G539" s="9">
        <f t="shared" si="27"/>
        <v>5.542416452442156E-2</v>
      </c>
      <c r="H539" s="8">
        <f t="shared" si="24"/>
        <v>9.9181605611847079E-2</v>
      </c>
      <c r="I539" s="4">
        <f t="shared" si="25"/>
        <v>6.4860580312346566E-3</v>
      </c>
      <c r="J539" s="4">
        <f t="shared" si="26"/>
        <v>1.2810000000000002E-2</v>
      </c>
    </row>
    <row r="540" spans="1:10" x14ac:dyDescent="0.3">
      <c r="A540" s="1">
        <v>42947</v>
      </c>
      <c r="B540" s="3">
        <v>23.3</v>
      </c>
      <c r="C540" s="3">
        <v>2.2919999999999998</v>
      </c>
      <c r="D540" s="3">
        <v>244.24299999999999</v>
      </c>
      <c r="E540" s="3">
        <v>103.41</v>
      </c>
      <c r="F540" s="3">
        <v>1.083</v>
      </c>
      <c r="G540" s="9">
        <f t="shared" si="27"/>
        <v>6.6852367688022163E-2</v>
      </c>
      <c r="H540" s="8">
        <f t="shared" si="24"/>
        <v>0.12822744415433718</v>
      </c>
      <c r="I540" s="4">
        <f t="shared" si="25"/>
        <v>6.5335887036805408E-3</v>
      </c>
      <c r="J540" s="4">
        <f t="shared" si="26"/>
        <v>1.2089999999999998E-2</v>
      </c>
    </row>
    <row r="541" spans="1:10" x14ac:dyDescent="0.3">
      <c r="A541" s="1">
        <v>42978</v>
      </c>
      <c r="B541" s="3">
        <v>22.9</v>
      </c>
      <c r="C541" s="3">
        <v>2.1219999999999999</v>
      </c>
      <c r="D541" s="3">
        <v>245.18299999999999</v>
      </c>
      <c r="E541" s="3">
        <v>105.14</v>
      </c>
      <c r="F541" s="3">
        <v>1.004</v>
      </c>
      <c r="G541" s="9">
        <f t="shared" si="27"/>
        <v>7.7695776957769525E-2</v>
      </c>
      <c r="H541" s="8">
        <f t="shared" si="24"/>
        <v>0.12887578466806171</v>
      </c>
      <c r="I541" s="4">
        <f t="shared" si="25"/>
        <v>4.4744353391419182E-3</v>
      </c>
      <c r="J541" s="4">
        <f t="shared" si="26"/>
        <v>1.1179999999999999E-2</v>
      </c>
    </row>
    <row r="542" spans="1:10" x14ac:dyDescent="0.3">
      <c r="A542" s="1">
        <v>43007</v>
      </c>
      <c r="B542" s="3">
        <v>23.2</v>
      </c>
      <c r="C542" s="3">
        <v>2.3260000000000001</v>
      </c>
      <c r="D542" s="3">
        <v>246.435</v>
      </c>
      <c r="E542" s="3">
        <v>105.64</v>
      </c>
      <c r="F542" s="3">
        <v>1.0569999999999999</v>
      </c>
      <c r="G542" s="9">
        <f t="shared" si="27"/>
        <v>8.2377049180327955E-2</v>
      </c>
      <c r="H542" s="8">
        <f t="shared" si="24"/>
        <v>0.13555471412343811</v>
      </c>
      <c r="I542" s="4">
        <f t="shared" si="25"/>
        <v>6.4265037587811179E-3</v>
      </c>
      <c r="J542" s="4">
        <f t="shared" si="26"/>
        <v>1.2690000000000002E-2</v>
      </c>
    </row>
    <row r="543" spans="1:10" x14ac:dyDescent="0.3">
      <c r="A543" s="1">
        <v>43039</v>
      </c>
      <c r="B543" s="3">
        <v>23.5</v>
      </c>
      <c r="C543" s="3">
        <v>2.3759999999999999</v>
      </c>
      <c r="D543" s="3">
        <v>246.626</v>
      </c>
      <c r="E543" s="3">
        <v>106.13</v>
      </c>
      <c r="F543" s="3">
        <v>1.1539999999999999</v>
      </c>
      <c r="G543" s="9">
        <f t="shared" si="27"/>
        <v>8.6952068824252216E-2</v>
      </c>
      <c r="H543" s="8">
        <f t="shared" si="24"/>
        <v>0.16376142466786026</v>
      </c>
      <c r="I543" s="4">
        <f t="shared" si="25"/>
        <v>7.1607290172357417E-3</v>
      </c>
      <c r="J543" s="4">
        <f t="shared" si="26"/>
        <v>1.222E-2</v>
      </c>
    </row>
    <row r="544" spans="1:10" x14ac:dyDescent="0.3">
      <c r="A544" s="1">
        <v>43069</v>
      </c>
      <c r="B544" s="3">
        <v>24.1</v>
      </c>
      <c r="C544" s="3">
        <v>2.415</v>
      </c>
      <c r="D544" s="3">
        <v>247.28399999999999</v>
      </c>
      <c r="E544" s="3">
        <v>106.29</v>
      </c>
      <c r="F544" s="3">
        <v>1.2689999999999999</v>
      </c>
      <c r="G544" s="9">
        <f t="shared" si="27"/>
        <v>8.1061838893409455E-2</v>
      </c>
      <c r="H544" s="8">
        <f t="shared" si="24"/>
        <v>0.2007714742685105</v>
      </c>
      <c r="I544" s="4">
        <f t="shared" si="25"/>
        <v>8.0755358362073447E-3</v>
      </c>
      <c r="J544" s="4">
        <f t="shared" si="26"/>
        <v>1.1460000000000001E-2</v>
      </c>
    </row>
    <row r="545" spans="1:10" x14ac:dyDescent="0.3">
      <c r="A545" s="1">
        <v>43098</v>
      </c>
      <c r="B545" s="3">
        <v>24.3</v>
      </c>
      <c r="C545" s="3">
        <v>2.411</v>
      </c>
      <c r="D545" s="3">
        <v>247.80500000000001</v>
      </c>
      <c r="E545" s="3">
        <v>106.77</v>
      </c>
      <c r="F545" s="3">
        <v>1.391</v>
      </c>
      <c r="G545" s="9">
        <f t="shared" si="27"/>
        <v>8.6164801627670373E-2</v>
      </c>
      <c r="H545" s="8">
        <f t="shared" si="24"/>
        <v>0.1948112765758172</v>
      </c>
      <c r="I545" s="4">
        <f t="shared" si="25"/>
        <v>8.115716243325112E-3</v>
      </c>
      <c r="J545" s="4">
        <f t="shared" si="26"/>
        <v>1.0200000000000001E-2</v>
      </c>
    </row>
    <row r="546" spans="1:10" x14ac:dyDescent="0.3">
      <c r="A546" s="1">
        <v>43131</v>
      </c>
      <c r="B546" s="3">
        <v>25.7</v>
      </c>
      <c r="C546" s="3">
        <v>2.72</v>
      </c>
      <c r="D546" s="3">
        <v>248.85900000000001</v>
      </c>
      <c r="E546" s="3">
        <v>106.06</v>
      </c>
      <c r="F546" s="3">
        <v>1.4650000000000001</v>
      </c>
      <c r="G546" s="9">
        <f t="shared" si="27"/>
        <v>7.5768333502383545E-2</v>
      </c>
      <c r="H546" s="8">
        <f t="shared" si="24"/>
        <v>0.21695266830096172</v>
      </c>
      <c r="I546" s="4">
        <f t="shared" si="25"/>
        <v>1.1124174442043722E-2</v>
      </c>
      <c r="J546" s="4">
        <f t="shared" si="26"/>
        <v>1.255E-2</v>
      </c>
    </row>
    <row r="547" spans="1:10" x14ac:dyDescent="0.3">
      <c r="A547" s="1">
        <v>43159</v>
      </c>
      <c r="B547" s="3">
        <v>24.6</v>
      </c>
      <c r="C547" s="3">
        <v>2.8679999999999999</v>
      </c>
      <c r="D547" s="3">
        <v>249.529</v>
      </c>
      <c r="E547" s="3">
        <v>105.83</v>
      </c>
      <c r="F547" s="3">
        <v>1.659</v>
      </c>
      <c r="G547" s="9">
        <f t="shared" si="27"/>
        <v>5.4188664209582571E-2</v>
      </c>
      <c r="H547" s="8">
        <f t="shared" si="24"/>
        <v>0.22592837569687241</v>
      </c>
      <c r="I547" s="4">
        <f t="shared" si="25"/>
        <v>1.2576357842609867E-2</v>
      </c>
      <c r="J547" s="4">
        <f t="shared" si="26"/>
        <v>1.2089999999999998E-2</v>
      </c>
    </row>
    <row r="548" spans="1:10" x14ac:dyDescent="0.3">
      <c r="A548" s="1">
        <v>43189</v>
      </c>
      <c r="B548" s="3">
        <v>23.6</v>
      </c>
      <c r="C548" s="3">
        <v>2.7440000000000002</v>
      </c>
      <c r="D548" s="3">
        <v>249.577</v>
      </c>
      <c r="E548" s="3">
        <v>108.06</v>
      </c>
      <c r="F548" s="3">
        <v>1.7150000000000001</v>
      </c>
      <c r="G548" s="9">
        <f t="shared" si="27"/>
        <v>7.7260492473332665E-2</v>
      </c>
      <c r="H548" s="8">
        <f t="shared" si="24"/>
        <v>0.17925226725893029</v>
      </c>
      <c r="I548" s="4">
        <f t="shared" si="25"/>
        <v>1.1679671530047436E-2</v>
      </c>
      <c r="J548" s="4">
        <f t="shared" si="26"/>
        <v>1.0290000000000001E-2</v>
      </c>
    </row>
    <row r="549" spans="1:10" x14ac:dyDescent="0.3">
      <c r="A549" s="1">
        <v>43220</v>
      </c>
      <c r="B549" s="3">
        <v>22.9</v>
      </c>
      <c r="C549" s="3">
        <v>2.9359999999999999</v>
      </c>
      <c r="D549" s="3">
        <v>250.227</v>
      </c>
      <c r="E549" s="3">
        <v>111.39</v>
      </c>
      <c r="F549" s="3">
        <v>1.8069999999999999</v>
      </c>
      <c r="G549" s="9">
        <f t="shared" si="27"/>
        <v>0.11312081542919961</v>
      </c>
      <c r="H549" s="8">
        <f t="shared" si="24"/>
        <v>0.14337014094622491</v>
      </c>
      <c r="I549" s="4">
        <f t="shared" si="25"/>
        <v>1.3570283726351776E-2</v>
      </c>
      <c r="J549" s="4">
        <f t="shared" si="26"/>
        <v>1.129E-2</v>
      </c>
    </row>
    <row r="550" spans="1:10" x14ac:dyDescent="0.3">
      <c r="A550" s="1">
        <v>43251</v>
      </c>
      <c r="B550" s="3">
        <v>23.1</v>
      </c>
      <c r="C550" s="3">
        <v>2.8220000000000001</v>
      </c>
      <c r="D550" s="3">
        <v>250.792</v>
      </c>
      <c r="E550" s="3">
        <v>112.59</v>
      </c>
      <c r="F550" s="3">
        <v>1.915</v>
      </c>
      <c r="G550" s="9">
        <f t="shared" si="27"/>
        <v>9.5553176997178246E-2</v>
      </c>
      <c r="H550" s="8">
        <f t="shared" si="24"/>
        <v>0.13695710098587788</v>
      </c>
      <c r="I550" s="4">
        <f t="shared" si="25"/>
        <v>1.2800435826182267E-2</v>
      </c>
      <c r="J550" s="4">
        <f t="shared" si="26"/>
        <v>9.0699999999999999E-3</v>
      </c>
    </row>
    <row r="551" spans="1:10" x14ac:dyDescent="0.3">
      <c r="A551" s="1">
        <v>43280</v>
      </c>
      <c r="B551" s="3">
        <v>23.2</v>
      </c>
      <c r="C551" s="3">
        <v>2.851</v>
      </c>
      <c r="D551" s="3">
        <v>251.018</v>
      </c>
      <c r="E551" s="3">
        <v>112.82</v>
      </c>
      <c r="F551" s="3">
        <v>1.92</v>
      </c>
      <c r="G551" s="9">
        <f t="shared" si="27"/>
        <v>9.9181605611847079E-2</v>
      </c>
      <c r="H551" s="8">
        <f t="shared" si="24"/>
        <v>0.13641198369083507</v>
      </c>
      <c r="I551" s="4">
        <f t="shared" si="25"/>
        <v>1.4056957505316624E-2</v>
      </c>
      <c r="J551" s="4">
        <f t="shared" si="26"/>
        <v>9.3100000000000006E-3</v>
      </c>
    </row>
    <row r="552" spans="1:10" x14ac:dyDescent="0.3">
      <c r="A552" s="1">
        <v>43312</v>
      </c>
      <c r="B552" s="3">
        <v>23.2</v>
      </c>
      <c r="C552" s="3">
        <v>2.964</v>
      </c>
      <c r="D552" s="3">
        <v>251.214</v>
      </c>
      <c r="E552" s="3">
        <v>116.67</v>
      </c>
      <c r="F552" s="3">
        <v>2.0329999999999999</v>
      </c>
      <c r="G552" s="9">
        <f t="shared" si="27"/>
        <v>0.12822744415433718</v>
      </c>
      <c r="H552" s="8">
        <f t="shared" si="24"/>
        <v>0.10431130539127453</v>
      </c>
      <c r="I552" s="4">
        <f t="shared" si="25"/>
        <v>1.5829465706053703E-2</v>
      </c>
      <c r="J552" s="4">
        <f t="shared" si="26"/>
        <v>9.3100000000000006E-3</v>
      </c>
    </row>
    <row r="553" spans="1:10" x14ac:dyDescent="0.3">
      <c r="A553" s="1">
        <v>43343</v>
      </c>
      <c r="B553" s="3">
        <v>23.5</v>
      </c>
      <c r="C553" s="3">
        <v>2.8530000000000002</v>
      </c>
      <c r="D553" s="3">
        <v>251.66300000000001</v>
      </c>
      <c r="E553" s="3">
        <v>118.69</v>
      </c>
      <c r="F553" s="3">
        <v>2.1040000000000001</v>
      </c>
      <c r="G553" s="9">
        <f t="shared" si="27"/>
        <v>0.12887578466806171</v>
      </c>
      <c r="H553" s="8">
        <f t="shared" si="24"/>
        <v>9.6891060746482349E-2</v>
      </c>
      <c r="I553" s="4">
        <f t="shared" si="25"/>
        <v>1.4387356940774036E-2</v>
      </c>
      <c r="J553" s="4">
        <f t="shared" si="26"/>
        <v>7.490000000000001E-3</v>
      </c>
    </row>
    <row r="554" spans="1:10" x14ac:dyDescent="0.3">
      <c r="A554" s="1">
        <v>43371</v>
      </c>
      <c r="B554" s="3">
        <v>23.3</v>
      </c>
      <c r="C554" s="3">
        <v>3.056</v>
      </c>
      <c r="D554" s="3">
        <v>252.18199999999999</v>
      </c>
      <c r="E554" s="3">
        <v>119.96</v>
      </c>
      <c r="F554" s="3">
        <v>2.1989999999999998</v>
      </c>
      <c r="G554" s="9">
        <f t="shared" si="27"/>
        <v>0.13555471412343811</v>
      </c>
      <c r="H554" s="8">
        <f t="shared" si="24"/>
        <v>8.8779593197732654E-2</v>
      </c>
      <c r="I554" s="4">
        <f t="shared" si="25"/>
        <v>1.6295101591338259E-2</v>
      </c>
      <c r="J554" s="4">
        <f t="shared" si="26"/>
        <v>8.5700000000000012E-3</v>
      </c>
    </row>
    <row r="555" spans="1:10" x14ac:dyDescent="0.3">
      <c r="A555" s="1">
        <v>43404</v>
      </c>
      <c r="B555" s="3">
        <v>21.1</v>
      </c>
      <c r="C555" s="3">
        <v>3.1589999999999998</v>
      </c>
      <c r="D555" s="3">
        <v>252.77199999999999</v>
      </c>
      <c r="E555" s="3">
        <v>123.51</v>
      </c>
      <c r="F555" s="3">
        <v>2.3330000000000002</v>
      </c>
      <c r="G555" s="9">
        <f t="shared" si="27"/>
        <v>0.16376142466786026</v>
      </c>
      <c r="H555" s="8">
        <f t="shared" si="24"/>
        <v>4.5988179094810011E-2</v>
      </c>
      <c r="I555" s="4">
        <f t="shared" si="25"/>
        <v>1.6211592298855042E-2</v>
      </c>
      <c r="J555" s="4">
        <f t="shared" si="26"/>
        <v>8.2599999999999965E-3</v>
      </c>
    </row>
    <row r="556" spans="1:10" x14ac:dyDescent="0.3">
      <c r="A556" s="1">
        <v>43434</v>
      </c>
      <c r="B556" s="3">
        <v>20.7</v>
      </c>
      <c r="C556" s="3">
        <v>3.0129999999999999</v>
      </c>
      <c r="D556" s="3">
        <v>252.59399999999999</v>
      </c>
      <c r="E556" s="3">
        <v>127.63</v>
      </c>
      <c r="F556" s="3">
        <v>2.363</v>
      </c>
      <c r="G556" s="9">
        <f t="shared" si="27"/>
        <v>0.2007714742685105</v>
      </c>
      <c r="H556" s="8">
        <f t="shared" si="24"/>
        <v>8.3836088693880484E-3</v>
      </c>
      <c r="I556" s="4">
        <f t="shared" si="25"/>
        <v>1.3007742306603075E-2</v>
      </c>
      <c r="J556" s="4">
        <f t="shared" si="26"/>
        <v>6.4999999999999988E-3</v>
      </c>
    </row>
    <row r="557" spans="1:10" x14ac:dyDescent="0.3">
      <c r="A557" s="1">
        <v>43465</v>
      </c>
      <c r="B557" s="3">
        <v>18.8</v>
      </c>
      <c r="C557" s="3">
        <v>2.6909999999999998</v>
      </c>
      <c r="D557" s="3">
        <v>252.767</v>
      </c>
      <c r="E557" s="3">
        <v>127.57</v>
      </c>
      <c r="F557" s="3">
        <v>2.3809999999999998</v>
      </c>
      <c r="G557" s="9">
        <f t="shared" si="27"/>
        <v>0.1948112765758172</v>
      </c>
      <c r="H557" s="8">
        <f t="shared" si="24"/>
        <v>8.0739985890099231E-3</v>
      </c>
      <c r="I557" s="4">
        <f t="shared" si="25"/>
        <v>8.8767798946238867E-3</v>
      </c>
      <c r="J557" s="4">
        <f t="shared" si="26"/>
        <v>3.1000000000000003E-3</v>
      </c>
    </row>
    <row r="558" spans="1:10" x14ac:dyDescent="0.3">
      <c r="A558" s="1">
        <v>43496</v>
      </c>
      <c r="B558" s="3">
        <v>20.2</v>
      </c>
      <c r="C558" s="3">
        <v>2.6349999999999998</v>
      </c>
      <c r="D558" s="3">
        <v>252.56100000000001</v>
      </c>
      <c r="E558" s="3">
        <v>129.07</v>
      </c>
      <c r="F558" s="3">
        <v>2.3969999999999998</v>
      </c>
      <c r="G558" s="9">
        <f t="shared" si="27"/>
        <v>0.21695266830096172</v>
      </c>
      <c r="H558" s="8">
        <f t="shared" si="24"/>
        <v>6.5080963818082704E-3</v>
      </c>
      <c r="I558" s="4">
        <f t="shared" si="25"/>
        <v>8.6570399608024845E-3</v>
      </c>
      <c r="J558" s="4">
        <f t="shared" si="26"/>
        <v>2.3799999999999997E-3</v>
      </c>
    </row>
    <row r="559" spans="1:10" x14ac:dyDescent="0.3">
      <c r="A559" s="1">
        <v>43524</v>
      </c>
      <c r="B559" s="3">
        <v>20.7</v>
      </c>
      <c r="C559" s="3">
        <v>2.7109999999999999</v>
      </c>
      <c r="D559" s="3">
        <v>253.31899999999999</v>
      </c>
      <c r="E559" s="3">
        <v>129.74</v>
      </c>
      <c r="F559" s="3">
        <v>2.44</v>
      </c>
      <c r="G559" s="9">
        <f t="shared" si="27"/>
        <v>0.22592837569687241</v>
      </c>
      <c r="H559" s="8">
        <f t="shared" si="24"/>
        <v>9.4034222290735325E-3</v>
      </c>
      <c r="I559" s="4">
        <f t="shared" si="25"/>
        <v>9.4820971465614835E-3</v>
      </c>
      <c r="J559" s="4">
        <f t="shared" si="26"/>
        <v>2.7099999999999989E-3</v>
      </c>
    </row>
    <row r="560" spans="1:10" x14ac:dyDescent="0.3">
      <c r="A560" s="1">
        <v>43553</v>
      </c>
      <c r="B560" s="3">
        <v>21.4</v>
      </c>
      <c r="C560" s="3">
        <v>2.4140000000000001</v>
      </c>
      <c r="D560" s="3">
        <v>254.27699999999999</v>
      </c>
      <c r="E560" s="3">
        <v>127.43</v>
      </c>
      <c r="F560" s="3">
        <v>2.4</v>
      </c>
      <c r="G560" s="9">
        <f t="shared" si="27"/>
        <v>0.17925226725893029</v>
      </c>
      <c r="H560" s="8">
        <f t="shared" si="24"/>
        <v>2.6759789688456381E-2</v>
      </c>
      <c r="I560" s="4">
        <f t="shared" si="25"/>
        <v>6.0273435135346845E-3</v>
      </c>
      <c r="J560" s="4">
        <f t="shared" si="26"/>
        <v>1.4000000000000235E-4</v>
      </c>
    </row>
    <row r="561" spans="1:10" x14ac:dyDescent="0.3">
      <c r="A561" s="1">
        <v>43585</v>
      </c>
      <c r="B561" s="3">
        <v>22.2</v>
      </c>
      <c r="C561" s="3">
        <v>2.5070000000000001</v>
      </c>
      <c r="D561" s="3">
        <v>255.233</v>
      </c>
      <c r="E561" s="3">
        <v>127.36</v>
      </c>
      <c r="F561" s="3">
        <v>2.4319999999999999</v>
      </c>
      <c r="G561" s="9">
        <f t="shared" si="27"/>
        <v>0.14337014094622491</v>
      </c>
      <c r="H561" s="8">
        <f t="shared" si="24"/>
        <v>-4.4755025125627901E-3</v>
      </c>
      <c r="I561" s="4">
        <f t="shared" si="25"/>
        <v>6.6777259179949464E-3</v>
      </c>
      <c r="J561" s="4">
        <f t="shared" si="26"/>
        <v>7.5000000000000175E-4</v>
      </c>
    </row>
    <row r="562" spans="1:10" x14ac:dyDescent="0.3">
      <c r="A562" s="1">
        <v>43616</v>
      </c>
      <c r="B562" s="3">
        <v>20.7</v>
      </c>
      <c r="C562" s="3">
        <v>2.1419999999999999</v>
      </c>
      <c r="D562" s="3">
        <v>255.29599999999999</v>
      </c>
      <c r="E562" s="3">
        <v>128.01</v>
      </c>
      <c r="F562" s="3">
        <v>2.3540000000000001</v>
      </c>
      <c r="G562" s="9">
        <f t="shared" si="27"/>
        <v>0.13695710098587788</v>
      </c>
      <c r="H562" s="8">
        <f t="shared" si="24"/>
        <v>-5.5073822357628255E-2</v>
      </c>
      <c r="I562" s="4">
        <f t="shared" si="25"/>
        <v>3.1523297411881791E-3</v>
      </c>
      <c r="J562" s="4">
        <f t="shared" si="26"/>
        <v>-2.1200000000000021E-3</v>
      </c>
    </row>
    <row r="563" spans="1:10" x14ac:dyDescent="0.3">
      <c r="A563" s="1">
        <v>43644</v>
      </c>
      <c r="B563" s="3">
        <v>22</v>
      </c>
      <c r="C563" s="3">
        <v>2</v>
      </c>
      <c r="D563" s="3">
        <v>255.21299999999999</v>
      </c>
      <c r="E563" s="3">
        <v>128.21</v>
      </c>
      <c r="F563" s="3">
        <v>2.1</v>
      </c>
      <c r="G563" s="9">
        <f t="shared" si="27"/>
        <v>0.13641198369083507</v>
      </c>
      <c r="H563" s="8">
        <f t="shared" si="24"/>
        <v>-6.1071679276187618E-2</v>
      </c>
      <c r="I563" s="4">
        <f t="shared" si="25"/>
        <v>2.6066995639985983E-3</v>
      </c>
      <c r="J563" s="4">
        <f t="shared" si="26"/>
        <v>-1.0000000000000009E-3</v>
      </c>
    </row>
    <row r="564" spans="1:10" x14ac:dyDescent="0.3">
      <c r="A564" s="1">
        <v>43677</v>
      </c>
      <c r="B564" s="3">
        <v>22.3</v>
      </c>
      <c r="C564" s="3">
        <v>2.0209999999999999</v>
      </c>
      <c r="D564" s="3">
        <v>255.80199999999999</v>
      </c>
      <c r="E564" s="3">
        <v>128.84</v>
      </c>
      <c r="F564" s="3">
        <v>2.085</v>
      </c>
      <c r="G564" s="9">
        <f t="shared" si="27"/>
        <v>0.10431130539127453</v>
      </c>
      <c r="H564" s="8">
        <f t="shared" si="24"/>
        <v>-0.12814343371623726</v>
      </c>
      <c r="I564" s="4">
        <f t="shared" si="25"/>
        <v>2.5518145202749129E-3</v>
      </c>
      <c r="J564" s="4">
        <f t="shared" si="26"/>
        <v>-6.4000000000000059E-4</v>
      </c>
    </row>
    <row r="565" spans="1:10" x14ac:dyDescent="0.3">
      <c r="A565" s="1">
        <v>43707</v>
      </c>
      <c r="B565" s="3">
        <v>21.6</v>
      </c>
      <c r="C565" s="3">
        <v>1.506</v>
      </c>
      <c r="D565" s="3">
        <v>256.036</v>
      </c>
      <c r="E565" s="3">
        <v>130.19</v>
      </c>
      <c r="F565" s="3">
        <v>1.9870000000000001</v>
      </c>
      <c r="G565" s="9">
        <f t="shared" si="27"/>
        <v>9.6891060746482349E-2</v>
      </c>
      <c r="H565" s="8">
        <f t="shared" si="24"/>
        <v>-0.17843152315846078</v>
      </c>
      <c r="I565" s="4">
        <f t="shared" si="25"/>
        <v>-2.3510763898733807E-3</v>
      </c>
      <c r="J565" s="4">
        <f t="shared" si="26"/>
        <v>-4.8100000000000009E-3</v>
      </c>
    </row>
    <row r="566" spans="1:10" x14ac:dyDescent="0.3">
      <c r="A566" s="1">
        <v>43738</v>
      </c>
      <c r="B566" s="3">
        <v>21.8</v>
      </c>
      <c r="C566" s="3">
        <v>1.673</v>
      </c>
      <c r="D566" s="3">
        <v>256.43</v>
      </c>
      <c r="E566" s="3">
        <v>130.61000000000001</v>
      </c>
      <c r="F566" s="3">
        <v>1.825</v>
      </c>
      <c r="G566" s="9">
        <f t="shared" si="27"/>
        <v>8.8779593197732654E-2</v>
      </c>
      <c r="H566" s="8">
        <f t="shared" si="24"/>
        <v>-0.18069060561978412</v>
      </c>
      <c r="I566" s="4">
        <f t="shared" si="25"/>
        <v>-6.4125954759810394E-4</v>
      </c>
      <c r="J566" s="4">
        <f t="shared" si="26"/>
        <v>-1.5199999999999992E-3</v>
      </c>
    </row>
    <row r="567" spans="1:10" x14ac:dyDescent="0.3">
      <c r="A567" s="1">
        <v>43769</v>
      </c>
      <c r="B567" s="3">
        <v>22.5</v>
      </c>
      <c r="C567" s="3">
        <v>1.6910000000000001</v>
      </c>
      <c r="D567" s="3">
        <v>257.15499999999997</v>
      </c>
      <c r="E567" s="3">
        <v>129.19</v>
      </c>
      <c r="F567" s="3">
        <v>1.546</v>
      </c>
      <c r="G567" s="9">
        <f t="shared" si="27"/>
        <v>4.5988179094810011E-2</v>
      </c>
      <c r="H567" s="8">
        <f t="shared" si="24"/>
        <v>-0.17509095131202113</v>
      </c>
      <c r="I567" s="4">
        <f t="shared" si="25"/>
        <v>-4.4354300091218463E-4</v>
      </c>
      <c r="J567" s="4">
        <f t="shared" si="26"/>
        <v>1.4500000000000001E-3</v>
      </c>
    </row>
    <row r="568" spans="1:10" x14ac:dyDescent="0.3">
      <c r="A568" s="1">
        <v>43798</v>
      </c>
      <c r="B568" s="3">
        <v>23.3</v>
      </c>
      <c r="C568" s="3">
        <v>1.776</v>
      </c>
      <c r="D568" s="3">
        <v>257.87900000000002</v>
      </c>
      <c r="E568" s="3">
        <v>128.69999999999999</v>
      </c>
      <c r="F568" s="3">
        <v>1.587</v>
      </c>
      <c r="G568" s="9">
        <f t="shared" si="27"/>
        <v>8.3836088693880484E-3</v>
      </c>
      <c r="H568" s="8">
        <f t="shared" si="24"/>
        <v>-0.16511266511266498</v>
      </c>
      <c r="I568" s="4">
        <f t="shared" si="25"/>
        <v>4.6053093642317924E-4</v>
      </c>
      <c r="J568" s="4">
        <f t="shared" si="26"/>
        <v>1.8900000000000006E-3</v>
      </c>
    </row>
    <row r="569" spans="1:10" x14ac:dyDescent="0.3">
      <c r="A569" s="1">
        <v>43830</v>
      </c>
      <c r="B569" s="3">
        <v>23.9</v>
      </c>
      <c r="C569" s="3">
        <v>1.91</v>
      </c>
      <c r="D569" s="3">
        <v>258.63</v>
      </c>
      <c r="E569" s="3">
        <v>128.6</v>
      </c>
      <c r="F569" s="3">
        <v>1.556</v>
      </c>
      <c r="G569" s="9">
        <f t="shared" si="27"/>
        <v>8.0739985890099231E-3</v>
      </c>
      <c r="H569" s="8">
        <f t="shared" si="24"/>
        <v>-0.16096423017107298</v>
      </c>
      <c r="I569" s="4">
        <f t="shared" si="25"/>
        <v>1.5575764039973336E-3</v>
      </c>
      <c r="J569" s="4">
        <f t="shared" si="26"/>
        <v>3.5399999999999989E-3</v>
      </c>
    </row>
    <row r="570" spans="1:10" x14ac:dyDescent="0.3">
      <c r="A570" s="1">
        <v>43861</v>
      </c>
      <c r="B570" s="3">
        <v>23.7</v>
      </c>
      <c r="C570" s="3">
        <v>1.5189999999999999</v>
      </c>
      <c r="D570" s="3">
        <v>259.12700000000001</v>
      </c>
      <c r="E570" s="3">
        <v>129.91</v>
      </c>
      <c r="F570" s="3">
        <v>1.554</v>
      </c>
      <c r="G570" s="9">
        <f t="shared" si="27"/>
        <v>6.5080963818082704E-3</v>
      </c>
      <c r="H570" s="8">
        <f t="shared" si="24"/>
        <v>-0.16080363328458169</v>
      </c>
      <c r="I570" s="4">
        <f t="shared" si="25"/>
        <v>-2.4817918086422024E-3</v>
      </c>
      <c r="J570" s="4">
        <f t="shared" si="26"/>
        <v>-3.5000000000000141E-4</v>
      </c>
    </row>
    <row r="571" spans="1:10" x14ac:dyDescent="0.3">
      <c r="A571" s="1">
        <v>43889</v>
      </c>
      <c r="B571" s="3">
        <v>21.6</v>
      </c>
      <c r="C571" s="3">
        <v>1.1259999999999999</v>
      </c>
      <c r="D571" s="3">
        <v>259.25</v>
      </c>
      <c r="E571" s="3">
        <v>130.96</v>
      </c>
      <c r="F571" s="3">
        <v>1.2849999999999999</v>
      </c>
      <c r="G571" s="9">
        <f t="shared" si="27"/>
        <v>9.4034222290735325E-3</v>
      </c>
      <c r="H571" s="8">
        <f t="shared" si="24"/>
        <v>-0.15997251069028717</v>
      </c>
      <c r="I571" s="4">
        <f t="shared" si="25"/>
        <v>-6.5570023553925202E-3</v>
      </c>
      <c r="J571" s="4">
        <f t="shared" si="26"/>
        <v>-1.5900000000000003E-3</v>
      </c>
    </row>
    <row r="572" spans="1:10" x14ac:dyDescent="0.3">
      <c r="A572" s="1">
        <v>43921</v>
      </c>
      <c r="B572" s="3">
        <v>18.7</v>
      </c>
      <c r="C572" s="3">
        <v>0.69899999999999995</v>
      </c>
      <c r="D572" s="3">
        <v>258.07600000000002</v>
      </c>
      <c r="E572" s="3">
        <v>130.84</v>
      </c>
      <c r="F572" s="3">
        <v>0.13200000000000001</v>
      </c>
      <c r="G572" s="9">
        <f t="shared" si="27"/>
        <v>2.6759789688456381E-2</v>
      </c>
      <c r="H572" s="8">
        <f t="shared" si="24"/>
        <v>-0.15667991439926632</v>
      </c>
      <c r="I572" s="4">
        <f t="shared" si="25"/>
        <v>-1.0331441557855755E-2</v>
      </c>
      <c r="J572" s="4">
        <f t="shared" si="26"/>
        <v>5.6699999999999997E-3</v>
      </c>
    </row>
    <row r="573" spans="1:10" x14ac:dyDescent="0.3">
      <c r="A573" s="1">
        <v>43951</v>
      </c>
      <c r="B573" s="3">
        <v>21.8</v>
      </c>
      <c r="C573" s="3">
        <v>0.625</v>
      </c>
      <c r="D573" s="3">
        <v>256.03199999999998</v>
      </c>
      <c r="E573" s="3">
        <v>126.79</v>
      </c>
      <c r="F573" s="3">
        <v>0.106</v>
      </c>
      <c r="G573" s="9">
        <f t="shared" si="27"/>
        <v>-4.4755025125627901E-3</v>
      </c>
      <c r="H573" s="8">
        <f t="shared" si="24"/>
        <v>-4.6927991166495819E-2</v>
      </c>
      <c r="I573" s="4">
        <f t="shared" si="25"/>
        <v>-1.0239440832271107E-2</v>
      </c>
      <c r="J573" s="4">
        <f t="shared" si="26"/>
        <v>5.1900000000000002E-3</v>
      </c>
    </row>
    <row r="574" spans="1:10" x14ac:dyDescent="0.3">
      <c r="A574" s="1">
        <v>43980</v>
      </c>
      <c r="B574" s="3">
        <v>24.1</v>
      </c>
      <c r="C574" s="3">
        <v>0.64400000000000002</v>
      </c>
      <c r="D574" s="3">
        <v>255.80199999999999</v>
      </c>
      <c r="E574" s="3">
        <v>120.96</v>
      </c>
      <c r="F574" s="3">
        <v>0.14199999999999999</v>
      </c>
      <c r="G574" s="9">
        <f t="shared" si="27"/>
        <v>-5.5073822357628255E-2</v>
      </c>
      <c r="H574" s="8">
        <f t="shared" si="24"/>
        <v>9.5568783068783247E-2</v>
      </c>
      <c r="I574" s="4">
        <f t="shared" si="25"/>
        <v>-1.0010934727622045E-2</v>
      </c>
      <c r="J574" s="4">
        <f t="shared" si="26"/>
        <v>5.0200000000000002E-3</v>
      </c>
    </row>
    <row r="575" spans="1:10" x14ac:dyDescent="0.3">
      <c r="A575" s="1">
        <v>44012</v>
      </c>
      <c r="B575" s="3">
        <v>24.7</v>
      </c>
      <c r="C575" s="3">
        <v>0.65300000000000002</v>
      </c>
      <c r="D575" s="3">
        <v>257.04199999999997</v>
      </c>
      <c r="E575" s="3">
        <v>120.38</v>
      </c>
      <c r="F575" s="3">
        <v>0.14699999999999999</v>
      </c>
      <c r="G575" s="9">
        <f t="shared" si="27"/>
        <v>-6.1071679276187618E-2</v>
      </c>
      <c r="H575" s="8">
        <f t="shared" ref="H575:H607" si="28">G587</f>
        <v>0.10965276624023934</v>
      </c>
      <c r="I575" s="4">
        <f t="shared" ref="I575:I607" si="29">C575%-((D575/D455)^(1/10)-1)</f>
        <v>-1.0455186588157174E-2</v>
      </c>
      <c r="J575" s="4">
        <f t="shared" ref="J575:J607" si="30">(C575-F575)%</f>
        <v>5.0600000000000003E-3</v>
      </c>
    </row>
    <row r="576" spans="1:10" x14ac:dyDescent="0.3">
      <c r="A576" s="1">
        <v>44043</v>
      </c>
      <c r="B576" s="3">
        <v>28</v>
      </c>
      <c r="C576" s="3">
        <v>0.53600000000000003</v>
      </c>
      <c r="D576" s="3">
        <v>258.35199999999998</v>
      </c>
      <c r="E576" s="3">
        <v>112.33</v>
      </c>
      <c r="F576" s="3">
        <v>9.4E-2</v>
      </c>
      <c r="G576" s="9">
        <f t="shared" si="27"/>
        <v>-0.12814343371623726</v>
      </c>
      <c r="H576" s="8">
        <f t="shared" si="28"/>
        <v>0.29733819994658583</v>
      </c>
      <c r="I576" s="4">
        <f t="shared" si="29"/>
        <v>-1.1952300788308032E-2</v>
      </c>
      <c r="J576" s="4">
        <f t="shared" si="30"/>
        <v>4.4200000000000003E-3</v>
      </c>
    </row>
    <row r="577" spans="1:10" x14ac:dyDescent="0.3">
      <c r="A577" s="1">
        <v>44074</v>
      </c>
      <c r="B577" s="3">
        <v>31.5</v>
      </c>
      <c r="C577" s="3">
        <v>0.69299999999999995</v>
      </c>
      <c r="D577" s="3">
        <v>259.31599999999997</v>
      </c>
      <c r="E577" s="3">
        <v>106.96</v>
      </c>
      <c r="F577" s="3">
        <v>0.106</v>
      </c>
      <c r="G577" s="9">
        <f t="shared" si="27"/>
        <v>-0.17843152315846078</v>
      </c>
      <c r="H577" s="8">
        <f t="shared" si="28"/>
        <v>0.46148092744951397</v>
      </c>
      <c r="I577" s="4">
        <f t="shared" si="29"/>
        <v>-1.0612656783289702E-2</v>
      </c>
      <c r="J577" s="4">
        <f t="shared" si="30"/>
        <v>5.8699999999999994E-3</v>
      </c>
    </row>
    <row r="578" spans="1:10" x14ac:dyDescent="0.3">
      <c r="A578" s="1">
        <v>44104</v>
      </c>
      <c r="B578" s="3">
        <v>30.3</v>
      </c>
      <c r="C578" s="3">
        <v>0.67700000000000005</v>
      </c>
      <c r="D578" s="3">
        <v>259.99700000000001</v>
      </c>
      <c r="E578" s="3">
        <v>107.01</v>
      </c>
      <c r="F578" s="3">
        <v>9.6000000000000002E-2</v>
      </c>
      <c r="G578" s="9">
        <f t="shared" si="27"/>
        <v>-0.18069060561978412</v>
      </c>
      <c r="H578" s="8">
        <f t="shared" si="28"/>
        <v>0.46649845808802914</v>
      </c>
      <c r="I578" s="4">
        <f t="shared" si="29"/>
        <v>-1.0875306672426251E-2</v>
      </c>
      <c r="J578" s="4">
        <f t="shared" si="30"/>
        <v>5.8100000000000009E-3</v>
      </c>
    </row>
    <row r="579" spans="1:10" x14ac:dyDescent="0.3">
      <c r="A579" s="1">
        <v>44134</v>
      </c>
      <c r="B579" s="3">
        <v>29.7</v>
      </c>
      <c r="C579" s="3">
        <v>0.85899999999999999</v>
      </c>
      <c r="D579" s="3">
        <v>260.31900000000002</v>
      </c>
      <c r="E579" s="3">
        <v>106.57</v>
      </c>
      <c r="F579" s="3">
        <v>9.4E-2</v>
      </c>
      <c r="G579" s="9">
        <f t="shared" si="27"/>
        <v>-0.17509095131202113</v>
      </c>
      <c r="H579" s="8">
        <f t="shared" si="28"/>
        <v>0.52266116167777077</v>
      </c>
      <c r="I579" s="4">
        <f t="shared" si="29"/>
        <v>-8.8275740655460039E-3</v>
      </c>
      <c r="J579" s="4">
        <f t="shared" si="30"/>
        <v>7.6500000000000005E-3</v>
      </c>
    </row>
    <row r="580" spans="1:10" x14ac:dyDescent="0.3">
      <c r="A580" s="1">
        <v>44165</v>
      </c>
      <c r="B580" s="3">
        <v>32.9</v>
      </c>
      <c r="C580" s="3">
        <v>0.84199999999999997</v>
      </c>
      <c r="D580" s="3">
        <v>260.911</v>
      </c>
      <c r="E580" s="3">
        <v>107.45</v>
      </c>
      <c r="F580" s="3">
        <v>8.1000000000000003E-2</v>
      </c>
      <c r="G580" s="9">
        <f t="shared" si="27"/>
        <v>-0.16511266511266498</v>
      </c>
      <c r="H580" s="8">
        <f t="shared" si="28"/>
        <v>0.55691019078641224</v>
      </c>
      <c r="I580" s="4">
        <f t="shared" si="29"/>
        <v>-8.9712145527450597E-3</v>
      </c>
      <c r="J580" s="4">
        <f t="shared" si="30"/>
        <v>7.6100000000000004E-3</v>
      </c>
    </row>
    <row r="581" spans="1:10" x14ac:dyDescent="0.3">
      <c r="A581" s="1">
        <v>44196</v>
      </c>
      <c r="B581" s="3">
        <v>34.1</v>
      </c>
      <c r="C581" s="3">
        <v>0.91200000000000003</v>
      </c>
      <c r="D581" s="3">
        <v>262.04500000000002</v>
      </c>
      <c r="E581" s="3">
        <v>107.9</v>
      </c>
      <c r="F581" s="3">
        <v>7.9000000000000001E-2</v>
      </c>
      <c r="G581" s="9">
        <f t="shared" si="27"/>
        <v>-0.16096423017107298</v>
      </c>
      <c r="H581" s="8">
        <f t="shared" si="28"/>
        <v>0.55273401297497671</v>
      </c>
      <c r="I581" s="4">
        <f t="shared" si="29"/>
        <v>-8.3046221894087675E-3</v>
      </c>
      <c r="J581" s="4">
        <f t="shared" si="30"/>
        <v>8.3300000000000006E-3</v>
      </c>
    </row>
    <row r="582" spans="1:10" x14ac:dyDescent="0.3">
      <c r="A582" s="1">
        <v>44225</v>
      </c>
      <c r="B582" s="3">
        <v>33.5</v>
      </c>
      <c r="C582" s="3">
        <v>1.0940000000000001</v>
      </c>
      <c r="D582" s="3">
        <v>262.63900000000001</v>
      </c>
      <c r="E582" s="3">
        <v>109.02</v>
      </c>
      <c r="F582" s="3">
        <v>5.8000000000000003E-2</v>
      </c>
      <c r="G582" s="9">
        <f t="shared" si="27"/>
        <v>-0.16080363328458169</v>
      </c>
      <c r="H582" s="8">
        <f t="shared" si="28"/>
        <v>0.58732342689414807</v>
      </c>
      <c r="I582" s="4">
        <f t="shared" si="29"/>
        <v>-6.3855732026971198E-3</v>
      </c>
      <c r="J582" s="4">
        <f t="shared" si="30"/>
        <v>1.0360000000000001E-2</v>
      </c>
    </row>
    <row r="583" spans="1:10" x14ac:dyDescent="0.3">
      <c r="A583" s="1">
        <v>44253</v>
      </c>
      <c r="B583" s="3">
        <v>34.1</v>
      </c>
      <c r="C583" s="3">
        <v>1.456</v>
      </c>
      <c r="D583" s="3">
        <v>263.57299999999998</v>
      </c>
      <c r="E583" s="3">
        <v>110.01</v>
      </c>
      <c r="F583" s="3">
        <v>4.1000000000000002E-2</v>
      </c>
      <c r="G583" s="9">
        <f t="shared" si="27"/>
        <v>-0.15997251069028717</v>
      </c>
      <c r="H583" s="8">
        <f t="shared" si="28"/>
        <v>0.6824834105990365</v>
      </c>
      <c r="I583" s="4">
        <f t="shared" si="29"/>
        <v>-2.8002223266187128E-3</v>
      </c>
      <c r="J583" s="4">
        <f t="shared" si="30"/>
        <v>1.4150000000000001E-2</v>
      </c>
    </row>
    <row r="584" spans="1:10" x14ac:dyDescent="0.3">
      <c r="A584" s="1">
        <v>44286</v>
      </c>
      <c r="B584" s="3">
        <v>35</v>
      </c>
      <c r="C584" s="3">
        <v>1.746</v>
      </c>
      <c r="D584" s="3">
        <v>264.84699999999998</v>
      </c>
      <c r="E584" s="3">
        <v>110.34</v>
      </c>
      <c r="F584" s="3">
        <v>2.3E-2</v>
      </c>
      <c r="G584" s="9">
        <f t="shared" si="27"/>
        <v>-0.15667991439926632</v>
      </c>
      <c r="H584" s="8">
        <f t="shared" si="28"/>
        <v>0.68189233278955963</v>
      </c>
      <c r="I584" s="4">
        <f t="shared" si="29"/>
        <v>1.3419236171504853E-4</v>
      </c>
      <c r="J584" s="4">
        <f t="shared" si="30"/>
        <v>1.7230000000000002E-2</v>
      </c>
    </row>
    <row r="585" spans="1:10" x14ac:dyDescent="0.3">
      <c r="A585" s="1">
        <v>44316</v>
      </c>
      <c r="B585" s="3">
        <v>33.6</v>
      </c>
      <c r="C585" s="3">
        <v>1.631</v>
      </c>
      <c r="D585" s="3">
        <v>266.625</v>
      </c>
      <c r="E585" s="3">
        <v>120.84</v>
      </c>
      <c r="F585" s="3">
        <v>1.2999999999999999E-2</v>
      </c>
      <c r="G585" s="9">
        <f t="shared" si="27"/>
        <v>-4.6927991166495819E-2</v>
      </c>
      <c r="H585" s="8">
        <f t="shared" si="28"/>
        <v>0.52482621648460759</v>
      </c>
      <c r="I585" s="4">
        <f t="shared" si="29"/>
        <v>-1.2200827489319728E-3</v>
      </c>
      <c r="J585" s="4">
        <f t="shared" si="30"/>
        <v>1.618E-2</v>
      </c>
    </row>
    <row r="586" spans="1:10" x14ac:dyDescent="0.3">
      <c r="A586" s="1">
        <v>44347</v>
      </c>
      <c r="B586" s="3">
        <v>30.8</v>
      </c>
      <c r="C586" s="3">
        <v>1.593</v>
      </c>
      <c r="D586" s="3">
        <v>268.404</v>
      </c>
      <c r="E586" s="3">
        <v>132.52000000000001</v>
      </c>
      <c r="F586" s="3">
        <v>1.2999999999999999E-2</v>
      </c>
      <c r="G586" s="9">
        <f t="shared" si="27"/>
        <v>9.5568783068783247E-2</v>
      </c>
      <c r="H586" s="8">
        <f t="shared" si="28"/>
        <v>0.39367642619981869</v>
      </c>
      <c r="I586" s="4">
        <f t="shared" si="29"/>
        <v>-1.9535799091019435E-3</v>
      </c>
      <c r="J586" s="4">
        <f t="shared" si="30"/>
        <v>1.5800000000000002E-2</v>
      </c>
    </row>
    <row r="587" spans="1:10" x14ac:dyDescent="0.3">
      <c r="A587" s="1">
        <v>44377</v>
      </c>
      <c r="B587" s="3">
        <v>31.3</v>
      </c>
      <c r="C587" s="3">
        <v>1.444</v>
      </c>
      <c r="D587" s="3">
        <v>270.70999999999998</v>
      </c>
      <c r="E587" s="3">
        <v>133.58000000000001</v>
      </c>
      <c r="F587" s="3">
        <v>4.5999999999999999E-2</v>
      </c>
      <c r="G587" s="9">
        <f t="shared" ref="G587:G607" si="31">E587/E575-1</f>
        <v>0.10965276624023934</v>
      </c>
      <c r="H587" s="8">
        <f t="shared" si="28"/>
        <v>0.38246743524479698</v>
      </c>
      <c r="I587" s="4">
        <f t="shared" si="29"/>
        <v>-4.3147344903753469E-3</v>
      </c>
      <c r="J587" s="4">
        <f t="shared" si="30"/>
        <v>1.3979999999999999E-2</v>
      </c>
    </row>
    <row r="588" spans="1:10" x14ac:dyDescent="0.3">
      <c r="A588" s="1">
        <v>44407</v>
      </c>
      <c r="B588" s="3">
        <v>29.2</v>
      </c>
      <c r="C588" s="3">
        <v>1.2390000000000001</v>
      </c>
      <c r="D588" s="3">
        <v>271.96499999999997</v>
      </c>
      <c r="E588" s="3">
        <v>145.72999999999999</v>
      </c>
      <c r="F588" s="3">
        <v>4.5999999999999999E-2</v>
      </c>
      <c r="G588" s="9">
        <f t="shared" si="31"/>
        <v>0.29733819994658583</v>
      </c>
      <c r="H588" s="8">
        <f t="shared" si="28"/>
        <v>0.26281479448294798</v>
      </c>
      <c r="I588" s="4">
        <f t="shared" si="29"/>
        <v>-6.5693855651384296E-3</v>
      </c>
      <c r="J588" s="4">
        <f t="shared" si="30"/>
        <v>1.1930000000000001E-2</v>
      </c>
    </row>
    <row r="589" spans="1:10" x14ac:dyDescent="0.3">
      <c r="A589" s="1">
        <v>44439</v>
      </c>
      <c r="B589" s="3">
        <v>28</v>
      </c>
      <c r="C589" s="3">
        <v>1.302</v>
      </c>
      <c r="D589" s="3">
        <v>272.75200000000001</v>
      </c>
      <c r="E589" s="3">
        <v>156.32</v>
      </c>
      <c r="F589" s="3">
        <v>4.5999999999999999E-2</v>
      </c>
      <c r="G589" s="9">
        <f t="shared" si="31"/>
        <v>0.46148092744951397</v>
      </c>
      <c r="H589" s="8">
        <f t="shared" si="28"/>
        <v>0.15775332650972373</v>
      </c>
      <c r="I589" s="4">
        <f t="shared" si="29"/>
        <v>-5.9129009716596716E-3</v>
      </c>
      <c r="J589" s="4">
        <f t="shared" si="30"/>
        <v>1.256E-2</v>
      </c>
    </row>
    <row r="590" spans="1:10" x14ac:dyDescent="0.3">
      <c r="A590" s="1">
        <v>44469</v>
      </c>
      <c r="B590" s="3">
        <v>26.6</v>
      </c>
      <c r="C590" s="3">
        <v>1.5269999999999999</v>
      </c>
      <c r="D590" s="3">
        <v>273.94200000000001</v>
      </c>
      <c r="E590" s="3">
        <v>156.93</v>
      </c>
      <c r="F590" s="3">
        <v>3.7999999999999999E-2</v>
      </c>
      <c r="G590" s="9">
        <f t="shared" si="31"/>
        <v>0.46649845808802914</v>
      </c>
      <c r="H590" s="8">
        <f t="shared" si="28"/>
        <v>0.15344421079462167</v>
      </c>
      <c r="I590" s="4">
        <f t="shared" si="29"/>
        <v>-3.8854861353482331E-3</v>
      </c>
      <c r="J590" s="4">
        <f t="shared" si="30"/>
        <v>1.4889999999999999E-2</v>
      </c>
    </row>
    <row r="591" spans="1:10" x14ac:dyDescent="0.3">
      <c r="A591" s="1">
        <v>44498</v>
      </c>
      <c r="B591" s="3">
        <v>27.4</v>
      </c>
      <c r="C591" s="3">
        <v>1.556</v>
      </c>
      <c r="D591" s="3">
        <v>276.52800000000002</v>
      </c>
      <c r="E591" s="3">
        <v>162.27000000000001</v>
      </c>
      <c r="F591" s="3">
        <v>5.8000000000000003E-2</v>
      </c>
      <c r="G591" s="9">
        <f t="shared" si="31"/>
        <v>0.52266116167777077</v>
      </c>
      <c r="H591" s="8">
        <f t="shared" si="28"/>
        <v>9.453380168854375E-2</v>
      </c>
      <c r="I591" s="4">
        <f t="shared" si="29"/>
        <v>-4.4846483866782978E-3</v>
      </c>
      <c r="J591" s="4">
        <f t="shared" si="30"/>
        <v>1.498E-2</v>
      </c>
    </row>
    <row r="592" spans="1:10" x14ac:dyDescent="0.3">
      <c r="A592" s="1">
        <v>44530</v>
      </c>
      <c r="B592" s="3">
        <v>26.2</v>
      </c>
      <c r="C592" s="3">
        <v>1.4410000000000001</v>
      </c>
      <c r="D592" s="3">
        <v>278.82400000000001</v>
      </c>
      <c r="E592" s="3">
        <v>167.29</v>
      </c>
      <c r="F592" s="3">
        <v>5.2999999999999999E-2</v>
      </c>
      <c r="G592" s="9">
        <f t="shared" si="31"/>
        <v>0.55691019078641224</v>
      </c>
      <c r="H592" s="8">
        <f t="shared" si="28"/>
        <v>6.3781457349513015E-2</v>
      </c>
      <c r="I592" s="4">
        <f t="shared" si="29"/>
        <v>-6.2899857353395979E-3</v>
      </c>
      <c r="J592" s="4">
        <f t="shared" si="30"/>
        <v>1.3880000000000002E-2</v>
      </c>
    </row>
    <row r="593" spans="1:10" x14ac:dyDescent="0.3">
      <c r="A593" s="1">
        <v>44561</v>
      </c>
      <c r="B593" s="3">
        <v>27.1</v>
      </c>
      <c r="C593" s="3">
        <v>1.498</v>
      </c>
      <c r="D593" s="3">
        <v>280.80599999999998</v>
      </c>
      <c r="E593" s="3">
        <v>167.54</v>
      </c>
      <c r="F593" s="3">
        <v>5.2999999999999999E-2</v>
      </c>
      <c r="G593" s="9">
        <f t="shared" si="31"/>
        <v>0.55273401297497671</v>
      </c>
      <c r="H593" s="8">
        <f t="shared" si="28"/>
        <v>6.3387847678166409E-2</v>
      </c>
      <c r="I593" s="4">
        <f t="shared" si="29"/>
        <v>-6.418955416078502E-3</v>
      </c>
      <c r="J593" s="4">
        <f t="shared" si="30"/>
        <v>1.4450000000000001E-2</v>
      </c>
    </row>
    <row r="594" spans="1:10" x14ac:dyDescent="0.3">
      <c r="A594" s="1">
        <v>44592</v>
      </c>
      <c r="B594" s="3">
        <v>24.6</v>
      </c>
      <c r="C594" s="3">
        <v>1.782</v>
      </c>
      <c r="D594" s="3">
        <v>282.54199999999997</v>
      </c>
      <c r="E594" s="3">
        <v>173.05</v>
      </c>
      <c r="F594" s="3">
        <v>0.185</v>
      </c>
      <c r="G594" s="9">
        <f t="shared" si="31"/>
        <v>0.58732342689414807</v>
      </c>
      <c r="H594" s="8">
        <f t="shared" si="28"/>
        <v>1.0806125397283983E-2</v>
      </c>
      <c r="I594" s="4">
        <f t="shared" si="29"/>
        <v>-3.9306509780505129E-3</v>
      </c>
      <c r="J594" s="4">
        <f t="shared" si="30"/>
        <v>1.5969999999999998E-2</v>
      </c>
    </row>
    <row r="595" spans="1:10" x14ac:dyDescent="0.3">
      <c r="A595" s="1">
        <v>44620</v>
      </c>
      <c r="B595" s="3">
        <v>22.4</v>
      </c>
      <c r="C595" s="3">
        <v>1.839</v>
      </c>
      <c r="D595" s="3">
        <v>284.52499999999998</v>
      </c>
      <c r="E595" s="3">
        <v>185.09</v>
      </c>
      <c r="F595" s="3">
        <v>0.32200000000000001</v>
      </c>
      <c r="G595" s="9">
        <f t="shared" si="31"/>
        <v>0.6824834105990365</v>
      </c>
      <c r="H595" s="8">
        <f t="shared" si="28"/>
        <v>-7.3477767572532215E-2</v>
      </c>
      <c r="I595" s="4">
        <f t="shared" si="29"/>
        <v>-3.8572142938290317E-3</v>
      </c>
      <c r="J595" s="4">
        <f t="shared" si="30"/>
        <v>1.5169999999999999E-2</v>
      </c>
    </row>
    <row r="596" spans="1:10" x14ac:dyDescent="0.3">
      <c r="A596" s="1">
        <v>44651</v>
      </c>
      <c r="B596" s="3">
        <v>23</v>
      </c>
      <c r="C596" s="3">
        <v>2.3250000000000002</v>
      </c>
      <c r="D596" s="3">
        <v>287.46699999999998</v>
      </c>
      <c r="E596" s="3">
        <v>185.58</v>
      </c>
      <c r="F596" s="3">
        <v>0.52</v>
      </c>
      <c r="G596" s="9">
        <f t="shared" si="31"/>
        <v>0.68189233278955963</v>
      </c>
      <c r="H596" s="8">
        <f t="shared" si="28"/>
        <v>-7.7971764198728311E-2</v>
      </c>
      <c r="I596" s="4">
        <f t="shared" si="29"/>
        <v>1.6464264873229315E-4</v>
      </c>
      <c r="J596" s="4">
        <f t="shared" si="30"/>
        <v>1.805E-2</v>
      </c>
    </row>
    <row r="597" spans="1:10" x14ac:dyDescent="0.3">
      <c r="A597" s="1">
        <v>44680</v>
      </c>
      <c r="B597" s="3">
        <v>21</v>
      </c>
      <c r="C597" s="3">
        <v>2.8849999999999998</v>
      </c>
      <c r="D597" s="3">
        <v>288.58199999999999</v>
      </c>
      <c r="E597" s="3">
        <v>184.26</v>
      </c>
      <c r="F597" s="3">
        <v>0.84099999999999997</v>
      </c>
      <c r="G597" s="9">
        <f t="shared" si="31"/>
        <v>0.52482621648460759</v>
      </c>
      <c r="H597" s="8">
        <f t="shared" si="28"/>
        <v>-7.5762509497449115E-2</v>
      </c>
      <c r="I597" s="4">
        <f t="shared" si="29"/>
        <v>5.5383323674464517E-3</v>
      </c>
      <c r="J597" s="4">
        <f t="shared" si="30"/>
        <v>2.0439999999999996E-2</v>
      </c>
    </row>
    <row r="598" spans="1:10" x14ac:dyDescent="0.3">
      <c r="A598" s="1">
        <v>44712</v>
      </c>
      <c r="B598" s="3">
        <v>20.9</v>
      </c>
      <c r="C598" s="3">
        <v>2.8439999999999999</v>
      </c>
      <c r="D598" s="3">
        <v>291.29899999999998</v>
      </c>
      <c r="E598" s="3">
        <v>184.69</v>
      </c>
      <c r="F598" s="3">
        <v>1.0669999999999999</v>
      </c>
      <c r="G598" s="9">
        <f t="shared" si="31"/>
        <v>0.39367642619981869</v>
      </c>
      <c r="H598" s="8">
        <f t="shared" si="28"/>
        <v>-6.6977096756727472E-2</v>
      </c>
      <c r="I598" s="4">
        <f t="shared" si="29"/>
        <v>3.9568629606154607E-3</v>
      </c>
      <c r="J598" s="4">
        <f t="shared" si="30"/>
        <v>1.7769999999999998E-2</v>
      </c>
    </row>
    <row r="599" spans="1:10" x14ac:dyDescent="0.3">
      <c r="A599" s="1">
        <v>44742</v>
      </c>
      <c r="B599" s="3">
        <v>19.100000000000001</v>
      </c>
      <c r="C599" s="3">
        <v>2.9740000000000002</v>
      </c>
      <c r="D599" s="3">
        <v>295.072</v>
      </c>
      <c r="E599" s="3">
        <v>184.67</v>
      </c>
      <c r="F599" s="3">
        <v>1.7</v>
      </c>
      <c r="G599" s="9">
        <f t="shared" si="31"/>
        <v>0.38246743524479698</v>
      </c>
      <c r="H599" s="8">
        <f t="shared" si="28"/>
        <v>-6.6984350462987896E-2</v>
      </c>
      <c r="I599" s="4">
        <f t="shared" si="29"/>
        <v>3.8527830857569972E-3</v>
      </c>
      <c r="J599" s="4">
        <f t="shared" si="30"/>
        <v>1.2740000000000003E-2</v>
      </c>
    </row>
    <row r="600" spans="1:10" x14ac:dyDescent="0.3">
      <c r="A600" s="1">
        <v>44771</v>
      </c>
      <c r="B600" s="3">
        <v>21</v>
      </c>
      <c r="C600" s="3">
        <v>2.6419999999999999</v>
      </c>
      <c r="D600" s="3">
        <v>294.94</v>
      </c>
      <c r="E600" s="3">
        <v>184.03</v>
      </c>
      <c r="F600" s="3">
        <v>2.3730000000000002</v>
      </c>
      <c r="G600" s="9">
        <f t="shared" si="31"/>
        <v>0.26281479448294798</v>
      </c>
      <c r="H600" s="8">
        <f t="shared" si="28"/>
        <v>-6.2163777644949181E-2</v>
      </c>
      <c r="I600" s="4">
        <f t="shared" si="29"/>
        <v>6.0830784234455759E-4</v>
      </c>
      <c r="J600" s="4">
        <f t="shared" si="30"/>
        <v>2.6899999999999966E-3</v>
      </c>
    </row>
    <row r="601" spans="1:10" x14ac:dyDescent="0.3">
      <c r="A601" s="1">
        <v>44804</v>
      </c>
      <c r="B601" s="3">
        <v>20.5</v>
      </c>
      <c r="C601" s="3">
        <v>3.1320000000000001</v>
      </c>
      <c r="D601" s="3">
        <v>295.16199999999998</v>
      </c>
      <c r="E601" s="3">
        <v>180.98</v>
      </c>
      <c r="F601" s="3">
        <v>2.931</v>
      </c>
      <c r="G601" s="9">
        <f t="shared" si="31"/>
        <v>0.15775332650972373</v>
      </c>
      <c r="H601" s="8">
        <f t="shared" si="28"/>
        <v>-2.8235164106531041E-2</v>
      </c>
      <c r="I601" s="4">
        <f t="shared" si="29"/>
        <v>6.0252179846018578E-3</v>
      </c>
      <c r="J601" s="4">
        <f t="shared" si="30"/>
        <v>2.0100000000000005E-3</v>
      </c>
    </row>
    <row r="602" spans="1:10" x14ac:dyDescent="0.3">
      <c r="A602" s="1">
        <v>44834</v>
      </c>
      <c r="B602" s="3">
        <v>18.600000000000001</v>
      </c>
      <c r="C602" s="3">
        <v>3.8039999999999998</v>
      </c>
      <c r="D602" s="3">
        <v>296.42099999999999</v>
      </c>
      <c r="E602" s="3">
        <v>181.01</v>
      </c>
      <c r="F602" s="3">
        <v>3.2829999999999999</v>
      </c>
      <c r="G602" s="9">
        <f t="shared" si="31"/>
        <v>0.15344421079462167</v>
      </c>
      <c r="H602" s="8">
        <f t="shared" si="28"/>
        <v>-2.9059168001767777E-2</v>
      </c>
      <c r="I602" s="4">
        <f t="shared" si="29"/>
        <v>1.2796844060623348E-2</v>
      </c>
      <c r="J602" s="4">
        <f t="shared" si="30"/>
        <v>5.2099999999999994E-3</v>
      </c>
    </row>
    <row r="603" spans="1:10" x14ac:dyDescent="0.3">
      <c r="A603" s="1">
        <v>44865</v>
      </c>
      <c r="B603" s="3">
        <v>20.399999999999999</v>
      </c>
      <c r="C603" s="3">
        <v>4.077</v>
      </c>
      <c r="D603" s="3">
        <v>297.97899999999998</v>
      </c>
      <c r="E603" s="3">
        <v>177.61</v>
      </c>
      <c r="F603" s="3">
        <v>4.09</v>
      </c>
      <c r="G603" s="9">
        <f t="shared" si="31"/>
        <v>9.453380168854375E-2</v>
      </c>
      <c r="H603" s="8">
        <f t="shared" si="28"/>
        <v>-1.5201846742863845E-3</v>
      </c>
      <c r="I603" s="4">
        <f t="shared" si="29"/>
        <v>1.5265465158448316E-2</v>
      </c>
      <c r="J603" s="4">
        <f t="shared" si="30"/>
        <v>-1.2999999999999901E-4</v>
      </c>
    </row>
    <row r="604" spans="1:10" x14ac:dyDescent="0.3">
      <c r="A604" s="1">
        <v>44895</v>
      </c>
      <c r="B604" s="3">
        <v>21.4</v>
      </c>
      <c r="C604" s="3">
        <v>3.7010000000000001</v>
      </c>
      <c r="D604" s="3">
        <v>298.70800000000003</v>
      </c>
      <c r="E604" s="3">
        <v>177.96</v>
      </c>
      <c r="F604" s="3">
        <v>4.3639999999999999</v>
      </c>
      <c r="G604" s="9">
        <f t="shared" si="31"/>
        <v>6.3781457349513015E-2</v>
      </c>
      <c r="H604" s="8">
        <f t="shared" si="28"/>
        <v>-1.4048100696786303E-3</v>
      </c>
      <c r="I604" s="4">
        <f t="shared" si="29"/>
        <v>1.1082434269690924E-2</v>
      </c>
      <c r="J604" s="4">
        <f t="shared" si="30"/>
        <v>-6.6299999999999979E-3</v>
      </c>
    </row>
    <row r="605" spans="1:10" x14ac:dyDescent="0.3">
      <c r="A605" s="1">
        <v>44925</v>
      </c>
      <c r="B605" s="3">
        <v>20.100000000000001</v>
      </c>
      <c r="C605" s="3">
        <v>3.831</v>
      </c>
      <c r="D605" s="3">
        <v>298.80799999999999</v>
      </c>
      <c r="E605" s="3">
        <v>178.16</v>
      </c>
      <c r="F605" s="3">
        <v>4.4050000000000002</v>
      </c>
      <c r="G605" s="9">
        <f t="shared" si="31"/>
        <v>6.3387847678166409E-2</v>
      </c>
      <c r="H605" s="8">
        <f t="shared" si="28"/>
        <v>8.9806915132473186E-4</v>
      </c>
      <c r="I605" s="4">
        <f t="shared" si="29"/>
        <v>1.2335670603819279E-2</v>
      </c>
      <c r="J605" s="4">
        <f t="shared" si="30"/>
        <v>-5.7400000000000029E-3</v>
      </c>
    </row>
    <row r="606" spans="1:10" x14ac:dyDescent="0.3">
      <c r="A606" s="1">
        <v>44957</v>
      </c>
      <c r="B606" s="3">
        <v>21.8</v>
      </c>
      <c r="C606" s="3">
        <v>3.5289999999999999</v>
      </c>
      <c r="D606" s="3">
        <v>300.45600000000002</v>
      </c>
      <c r="E606" s="3">
        <v>174.92</v>
      </c>
      <c r="F606" s="3">
        <v>4.6929999999999996</v>
      </c>
      <c r="G606" s="9">
        <f t="shared" si="31"/>
        <v>1.0806125397283983E-2</v>
      </c>
      <c r="H606" s="8">
        <f t="shared" si="28"/>
        <v>2.1838554767894092E-2</v>
      </c>
      <c r="I606" s="4">
        <f t="shared" si="29"/>
        <v>8.9543343222102251E-3</v>
      </c>
      <c r="J606" s="4">
        <f t="shared" si="30"/>
        <v>-1.1639999999999998E-2</v>
      </c>
    </row>
    <row r="607" spans="1:10" x14ac:dyDescent="0.3">
      <c r="A607" s="1">
        <v>44985</v>
      </c>
      <c r="B607" s="3">
        <v>21.7</v>
      </c>
      <c r="C607" s="3">
        <v>3.9140000000000001</v>
      </c>
      <c r="D607" s="3">
        <v>301.476</v>
      </c>
      <c r="E607" s="3">
        <v>171.49</v>
      </c>
      <c r="F607" s="3">
        <v>4.8570000000000002</v>
      </c>
      <c r="G607" s="9">
        <f t="shared" si="31"/>
        <v>-7.3477767572532215E-2</v>
      </c>
      <c r="H607" s="8">
        <f t="shared" si="28"/>
        <v>6.4027056971251994E-2</v>
      </c>
      <c r="I607" s="4">
        <f t="shared" si="29"/>
        <v>1.3012263997480837E-2</v>
      </c>
      <c r="J607" s="4">
        <f t="shared" si="30"/>
        <v>-9.4300000000000009E-3</v>
      </c>
    </row>
    <row r="608" spans="1:10" x14ac:dyDescent="0.3">
      <c r="A608" s="1">
        <v>45016</v>
      </c>
      <c r="B608" s="3">
        <v>22.4</v>
      </c>
      <c r="C608" s="3">
        <v>3.4809999999999999</v>
      </c>
      <c r="D608" s="3">
        <v>301.64299999999997</v>
      </c>
      <c r="E608" s="3">
        <v>171.11</v>
      </c>
      <c r="F608" s="3">
        <v>4.6550000000000002</v>
      </c>
      <c r="G608" s="9">
        <f t="shared" ref="G608:G632" si="32">E608/E596-1</f>
        <v>-7.7971764198728311E-2</v>
      </c>
      <c r="H608" s="8">
        <f t="shared" ref="H608:H620" si="33">G620</f>
        <v>6.5162760797147889E-2</v>
      </c>
      <c r="I608" s="4">
        <f t="shared" ref="I608:I632" si="34">C608%-((D608/D488)^(1/10)-1)</f>
        <v>8.3364347669192471E-3</v>
      </c>
      <c r="J608" s="4">
        <f t="shared" ref="J608:J632" si="35">(C608-F608)%</f>
        <v>-1.1740000000000004E-2</v>
      </c>
    </row>
    <row r="609" spans="1:10" x14ac:dyDescent="0.3">
      <c r="A609" s="1">
        <v>45044</v>
      </c>
      <c r="B609" s="3">
        <v>22.8</v>
      </c>
      <c r="C609" s="3">
        <v>3.4279999999999999</v>
      </c>
      <c r="D609" s="3">
        <v>302.858</v>
      </c>
      <c r="E609" s="3">
        <v>170.3</v>
      </c>
      <c r="F609" s="3">
        <v>5.0999999999999996</v>
      </c>
      <c r="G609" s="9">
        <f t="shared" si="32"/>
        <v>-7.5762509497449115E-2</v>
      </c>
      <c r="H609" s="8">
        <f t="shared" si="33"/>
        <v>7.3987081620669359E-2</v>
      </c>
      <c r="I609" s="4">
        <f t="shared" si="34"/>
        <v>7.1790665434824583E-3</v>
      </c>
      <c r="J609" s="4">
        <f t="shared" si="35"/>
        <v>-1.6719999999999999E-2</v>
      </c>
    </row>
    <row r="610" spans="1:10" x14ac:dyDescent="0.3">
      <c r="A610" s="1">
        <v>45077</v>
      </c>
      <c r="B610" s="3">
        <v>22.6</v>
      </c>
      <c r="C610" s="3">
        <v>3.633</v>
      </c>
      <c r="D610" s="3">
        <v>303.31599999999997</v>
      </c>
      <c r="E610" s="3">
        <v>172.32</v>
      </c>
      <c r="F610" s="3">
        <v>5.42</v>
      </c>
      <c r="G610" s="9">
        <f t="shared" si="32"/>
        <v>-6.6977096756727472E-2</v>
      </c>
      <c r="H610" s="8">
        <f t="shared" si="33"/>
        <v>6.1745589600742834E-2</v>
      </c>
      <c r="I610" s="4">
        <f t="shared" si="34"/>
        <v>9.1163824799725124E-3</v>
      </c>
      <c r="J610" s="4">
        <f t="shared" si="35"/>
        <v>-1.787E-2</v>
      </c>
    </row>
    <row r="611" spans="1:10" x14ac:dyDescent="0.3">
      <c r="A611" s="1">
        <v>45107</v>
      </c>
      <c r="B611" s="3">
        <v>24.1</v>
      </c>
      <c r="C611" s="3">
        <v>3.8090000000000002</v>
      </c>
      <c r="D611" s="3">
        <v>304.09899999999999</v>
      </c>
      <c r="E611" s="3">
        <v>172.3</v>
      </c>
      <c r="F611" s="3">
        <v>5.3120000000000003</v>
      </c>
      <c r="G611" s="9">
        <f t="shared" si="32"/>
        <v>-6.6984350462987896E-2</v>
      </c>
      <c r="H611" s="8">
        <f t="shared" si="33"/>
        <v>6.3784097504352655E-2</v>
      </c>
      <c r="I611" s="4">
        <f t="shared" si="34"/>
        <v>1.0855780434838411E-2</v>
      </c>
      <c r="J611" s="4">
        <f t="shared" si="35"/>
        <v>-1.5030000000000002E-2</v>
      </c>
    </row>
    <row r="612" spans="1:10" x14ac:dyDescent="0.3">
      <c r="A612" s="1">
        <v>45138</v>
      </c>
      <c r="B612" s="3">
        <v>24.8</v>
      </c>
      <c r="C612" s="3">
        <v>3.9489999999999998</v>
      </c>
      <c r="D612" s="3">
        <v>304.61500000000001</v>
      </c>
      <c r="E612" s="3">
        <v>172.59</v>
      </c>
      <c r="F612" s="3">
        <v>5.4260000000000002</v>
      </c>
      <c r="G612" s="9">
        <f t="shared" si="32"/>
        <v>-6.2163777644949181E-2</v>
      </c>
      <c r="H612" s="8">
        <f t="shared" si="33"/>
        <v>7.0108349267049119E-2</v>
      </c>
      <c r="I612" s="4">
        <f t="shared" si="34"/>
        <v>1.228250472701406E-2</v>
      </c>
      <c r="J612" s="4">
        <f t="shared" si="35"/>
        <v>-1.4770000000000004E-2</v>
      </c>
    </row>
    <row r="613" spans="1:10" x14ac:dyDescent="0.3">
      <c r="A613" s="1">
        <v>45169</v>
      </c>
      <c r="B613" s="3">
        <v>23.9</v>
      </c>
      <c r="C613" s="3">
        <v>4.0960000000000001</v>
      </c>
      <c r="D613" s="3">
        <v>306.13799999999998</v>
      </c>
      <c r="E613" s="3">
        <v>175.87</v>
      </c>
      <c r="F613" s="3">
        <v>5.4770000000000003</v>
      </c>
      <c r="G613" s="9">
        <f t="shared" si="32"/>
        <v>-2.8235164106531041E-2</v>
      </c>
      <c r="H613" s="8">
        <f t="shared" si="33"/>
        <v>8.7337237732415973E-2</v>
      </c>
      <c r="I613" s="4">
        <f t="shared" si="34"/>
        <v>1.3485103133651262E-2</v>
      </c>
      <c r="J613" s="4">
        <f t="shared" si="35"/>
        <v>-1.3810000000000003E-2</v>
      </c>
    </row>
    <row r="614" spans="1:10" x14ac:dyDescent="0.3">
      <c r="A614" s="1">
        <v>45198</v>
      </c>
      <c r="B614" s="3">
        <v>22.8</v>
      </c>
      <c r="C614" s="3">
        <v>4.5730000000000004</v>
      </c>
      <c r="D614" s="3">
        <v>307.37400000000002</v>
      </c>
      <c r="E614" s="3">
        <v>175.75</v>
      </c>
      <c r="F614" s="3">
        <v>5.4690000000000003</v>
      </c>
      <c r="G614" s="9">
        <f t="shared" si="32"/>
        <v>-2.9059168001767777E-2</v>
      </c>
      <c r="H614" s="8">
        <f t="shared" si="33"/>
        <v>7.4765291607396867E-2</v>
      </c>
      <c r="I614" s="4">
        <f t="shared" si="34"/>
        <v>1.7879760398599134E-2</v>
      </c>
      <c r="J614" s="4">
        <f t="shared" si="35"/>
        <v>-8.9599999999999992E-3</v>
      </c>
    </row>
    <row r="615" spans="1:10" x14ac:dyDescent="0.3">
      <c r="A615" s="1">
        <v>45230</v>
      </c>
      <c r="B615" s="3">
        <v>22</v>
      </c>
      <c r="C615" s="3">
        <v>4.9089999999999998</v>
      </c>
      <c r="D615" s="3">
        <v>307.65300000000002</v>
      </c>
      <c r="E615" s="3">
        <v>177.34</v>
      </c>
      <c r="F615" s="3">
        <v>5.4729999999999999</v>
      </c>
      <c r="G615" s="9">
        <f t="shared" si="32"/>
        <v>-1.5201846742863845E-3</v>
      </c>
      <c r="H615" s="8">
        <f t="shared" si="33"/>
        <v>5.5204691552949159E-2</v>
      </c>
      <c r="I615" s="4">
        <f t="shared" si="34"/>
        <v>2.1201504186143666E-2</v>
      </c>
      <c r="J615" s="4">
        <f>(C615-F615)%</f>
        <v>-5.6400000000000009E-3</v>
      </c>
    </row>
    <row r="616" spans="1:10" x14ac:dyDescent="0.3">
      <c r="A616" s="1">
        <v>45260</v>
      </c>
      <c r="B616" s="3">
        <v>23.9</v>
      </c>
      <c r="C616" s="3">
        <v>4.34</v>
      </c>
      <c r="D616" s="3">
        <v>308.08699999999999</v>
      </c>
      <c r="E616" s="3">
        <v>177.71</v>
      </c>
      <c r="F616" s="3">
        <v>5.4080000000000004</v>
      </c>
      <c r="G616" s="9">
        <f t="shared" si="32"/>
        <v>-1.4048100696786303E-3</v>
      </c>
      <c r="H616" s="8">
        <f t="shared" si="33"/>
        <v>6.7019301108547591E-2</v>
      </c>
      <c r="I616" s="4">
        <f t="shared" si="34"/>
        <v>1.5556021515440339E-2</v>
      </c>
      <c r="J616" s="4">
        <f t="shared" si="35"/>
        <v>-1.0680000000000005E-2</v>
      </c>
    </row>
    <row r="617" spans="1:10" x14ac:dyDescent="0.3">
      <c r="A617" s="1">
        <v>45289</v>
      </c>
      <c r="B617" s="3">
        <v>25</v>
      </c>
      <c r="C617" s="3">
        <v>3.8660000000000001</v>
      </c>
      <c r="D617" s="3">
        <v>308.73500000000001</v>
      </c>
      <c r="E617" s="3">
        <v>178.32</v>
      </c>
      <c r="F617" s="3">
        <v>5.3529999999999998</v>
      </c>
      <c r="G617" s="9">
        <f t="shared" si="32"/>
        <v>8.9806915132473186E-4</v>
      </c>
      <c r="H617" s="8">
        <f t="shared" si="33"/>
        <v>6.7799461641991909E-2</v>
      </c>
      <c r="I617" s="4">
        <f t="shared" si="34"/>
        <v>1.0871481076921347E-2</v>
      </c>
      <c r="J617" s="4">
        <f t="shared" si="35"/>
        <v>-1.4869999999999996E-2</v>
      </c>
    </row>
    <row r="618" spans="1:10" x14ac:dyDescent="0.3">
      <c r="A618" s="1">
        <v>45322</v>
      </c>
      <c r="B618" s="3">
        <v>25.2</v>
      </c>
      <c r="C618" s="3">
        <v>3.948</v>
      </c>
      <c r="D618" s="3">
        <v>309.79399999999998</v>
      </c>
      <c r="E618" s="3">
        <v>178.74</v>
      </c>
      <c r="F618" s="3">
        <v>5.3780000000000001</v>
      </c>
      <c r="G618" s="9">
        <f t="shared" si="32"/>
        <v>2.1838554767894092E-2</v>
      </c>
      <c r="H618" s="8">
        <f t="shared" si="33"/>
        <v>9.3935325053149832E-2</v>
      </c>
      <c r="I618" s="4">
        <f t="shared" si="34"/>
        <v>1.1588387178918677E-2</v>
      </c>
      <c r="J618" s="4">
        <f t="shared" si="35"/>
        <v>-1.4300000000000002E-2</v>
      </c>
    </row>
    <row r="619" spans="1:10" x14ac:dyDescent="0.3">
      <c r="A619" s="1">
        <v>45351</v>
      </c>
      <c r="B619" s="3">
        <v>26</v>
      </c>
      <c r="C619" s="3">
        <v>4.2439999999999998</v>
      </c>
      <c r="D619" s="3">
        <v>311.02199999999999</v>
      </c>
      <c r="E619" s="3">
        <v>182.47</v>
      </c>
      <c r="F619" s="3">
        <v>5.3769999999999998</v>
      </c>
      <c r="G619" s="9">
        <f t="shared" si="32"/>
        <v>6.4027056971251994E-2</v>
      </c>
      <c r="H619" s="8">
        <f t="shared" si="33"/>
        <v>9.7824299884912591E-2</v>
      </c>
      <c r="I619" s="4">
        <f t="shared" si="34"/>
        <v>1.4254788091305502E-2</v>
      </c>
      <c r="J619" s="4">
        <f t="shared" si="35"/>
        <v>-1.133E-2</v>
      </c>
    </row>
    <row r="620" spans="1:10" x14ac:dyDescent="0.3">
      <c r="A620" s="1">
        <v>45380</v>
      </c>
      <c r="B620" s="3">
        <v>26.9</v>
      </c>
      <c r="C620" s="3">
        <v>4.2060000000000004</v>
      </c>
      <c r="D620" s="3">
        <v>312.10700000000003</v>
      </c>
      <c r="E620" s="3">
        <v>182.26</v>
      </c>
      <c r="F620" s="3">
        <v>5.37</v>
      </c>
      <c r="G620" s="9">
        <f t="shared" si="32"/>
        <v>6.5162760797147889E-2</v>
      </c>
      <c r="H620" s="8">
        <f t="shared" si="33"/>
        <v>0.10024141336552184</v>
      </c>
      <c r="I620" s="4">
        <f t="shared" si="34"/>
        <v>1.3726466266508218E-2</v>
      </c>
      <c r="J620" s="4">
        <f t="shared" si="35"/>
        <v>-1.1639999999999998E-2</v>
      </c>
    </row>
    <row r="621" spans="1:10" x14ac:dyDescent="0.3">
      <c r="A621" s="1">
        <v>45412</v>
      </c>
      <c r="B621" s="3">
        <v>25.7</v>
      </c>
      <c r="C621" s="3">
        <v>4.68</v>
      </c>
      <c r="D621" s="3">
        <v>313.01600000000002</v>
      </c>
      <c r="E621" s="3">
        <v>182.9</v>
      </c>
      <c r="F621" s="3">
        <v>5.4050000000000002</v>
      </c>
      <c r="G621" s="9">
        <f t="shared" si="32"/>
        <v>7.3987081620669359E-2</v>
      </c>
      <c r="I621" s="4">
        <f t="shared" si="34"/>
        <v>1.8358919625806533E-2</v>
      </c>
      <c r="J621" s="4">
        <f t="shared" si="35"/>
        <v>-7.2500000000000056E-3</v>
      </c>
    </row>
    <row r="622" spans="1:10" x14ac:dyDescent="0.3">
      <c r="A622" s="1">
        <v>45443</v>
      </c>
      <c r="B622" s="3">
        <v>26.8</v>
      </c>
      <c r="C622" s="3">
        <v>4.4870000000000001</v>
      </c>
      <c r="D622" s="3">
        <v>313.14</v>
      </c>
      <c r="E622" s="3">
        <v>182.96</v>
      </c>
      <c r="F622" s="3">
        <v>5.39</v>
      </c>
      <c r="G622" s="9">
        <f t="shared" si="32"/>
        <v>6.1745589600742834E-2</v>
      </c>
      <c r="I622" s="4">
        <f t="shared" si="34"/>
        <v>1.6583701733895485E-2</v>
      </c>
      <c r="J622" s="4">
        <f t="shared" si="35"/>
        <v>-9.0299999999999964E-3</v>
      </c>
    </row>
    <row r="623" spans="1:10" x14ac:dyDescent="0.3">
      <c r="A623" s="1">
        <v>45471</v>
      </c>
      <c r="B623" s="3">
        <v>27.6</v>
      </c>
      <c r="C623" s="3">
        <v>4.3710000000000004</v>
      </c>
      <c r="D623" s="3">
        <v>313.13099999999997</v>
      </c>
      <c r="E623" s="3">
        <v>183.29</v>
      </c>
      <c r="F623" s="3">
        <v>5.3650000000000002</v>
      </c>
      <c r="G623" s="9">
        <f t="shared" si="32"/>
        <v>6.3784097504352655E-2</v>
      </c>
      <c r="I623" s="4">
        <f t="shared" si="34"/>
        <v>1.5562408387719141E-2</v>
      </c>
      <c r="J623" s="4">
        <f t="shared" si="35"/>
        <v>-9.9399999999999974E-3</v>
      </c>
    </row>
    <row r="624" spans="1:10" x14ac:dyDescent="0.3">
      <c r="A624" s="1">
        <v>45504</v>
      </c>
      <c r="B624" s="3">
        <v>27.8</v>
      </c>
      <c r="C624" s="3">
        <v>4.0549999999999997</v>
      </c>
      <c r="D624" s="3">
        <v>313.56599999999997</v>
      </c>
      <c r="E624" s="3">
        <v>184.69</v>
      </c>
      <c r="F624" s="3">
        <v>5.274</v>
      </c>
      <c r="G624" s="9">
        <f t="shared" si="32"/>
        <v>7.0108349267049119E-2</v>
      </c>
      <c r="I624" s="4">
        <f t="shared" si="34"/>
        <v>1.2375328834450271E-2</v>
      </c>
      <c r="J624" s="4">
        <f t="shared" si="35"/>
        <v>-1.2190000000000003E-2</v>
      </c>
    </row>
    <row r="625" spans="1:10" x14ac:dyDescent="0.3">
      <c r="A625" s="1">
        <v>45534</v>
      </c>
      <c r="B625" s="3">
        <v>27.5</v>
      </c>
      <c r="C625" s="3">
        <v>3.919</v>
      </c>
      <c r="D625" s="3">
        <v>314.13099999999997</v>
      </c>
      <c r="E625" s="3">
        <v>191.23</v>
      </c>
      <c r="F625" s="3">
        <v>5.1040000000000001</v>
      </c>
      <c r="G625" s="9">
        <f t="shared" si="32"/>
        <v>8.7337237732415973E-2</v>
      </c>
      <c r="I625" s="4">
        <f t="shared" si="34"/>
        <v>1.0813761522037779E-2</v>
      </c>
      <c r="J625" s="4">
        <f t="shared" si="35"/>
        <v>-1.1850000000000001E-2</v>
      </c>
    </row>
    <row r="626" spans="1:10" x14ac:dyDescent="0.3">
      <c r="A626" s="1">
        <v>45565</v>
      </c>
      <c r="B626" s="3">
        <v>28.4</v>
      </c>
      <c r="C626" s="3">
        <v>3.79</v>
      </c>
      <c r="D626" s="3">
        <v>314.851</v>
      </c>
      <c r="E626" s="3">
        <v>188.89</v>
      </c>
      <c r="F626" s="3">
        <v>4.625</v>
      </c>
      <c r="G626" s="9">
        <f t="shared" si="32"/>
        <v>7.4765291607396867E-2</v>
      </c>
      <c r="I626" s="4">
        <f t="shared" si="34"/>
        <v>9.2956602473585753E-3</v>
      </c>
      <c r="J626" s="4">
        <f t="shared" si="35"/>
        <v>-8.3499999999999998E-3</v>
      </c>
    </row>
    <row r="627" spans="1:10" x14ac:dyDescent="0.3">
      <c r="A627" s="1">
        <v>45596</v>
      </c>
      <c r="B627" s="3">
        <v>28.4</v>
      </c>
      <c r="C627" s="3">
        <v>4.282</v>
      </c>
      <c r="D627" s="3">
        <v>315.56400000000002</v>
      </c>
      <c r="E627" s="3">
        <v>187.13</v>
      </c>
      <c r="F627" s="3">
        <v>4.5519999999999996</v>
      </c>
      <c r="G627" s="9">
        <f t="shared" si="32"/>
        <v>5.5204691552949159E-2</v>
      </c>
      <c r="I627" s="4">
        <f t="shared" si="34"/>
        <v>1.3962598990066827E-2</v>
      </c>
      <c r="J627" s="4">
        <f t="shared" si="35"/>
        <v>-2.6999999999999958E-3</v>
      </c>
    </row>
    <row r="628" spans="1:10" x14ac:dyDescent="0.3">
      <c r="A628" s="1">
        <v>45625</v>
      </c>
      <c r="B628" s="3">
        <v>29.9</v>
      </c>
      <c r="C628" s="3">
        <v>4.194</v>
      </c>
      <c r="D628" s="3">
        <v>316.44900000000001</v>
      </c>
      <c r="E628" s="3">
        <v>189.62</v>
      </c>
      <c r="F628" s="3">
        <v>4.4939999999999998</v>
      </c>
      <c r="G628" s="9">
        <f t="shared" si="32"/>
        <v>6.7019301108547591E-2</v>
      </c>
      <c r="I628" s="4">
        <f t="shared" si="34"/>
        <v>1.2600465160597672E-2</v>
      </c>
      <c r="J628" s="4">
        <f t="shared" si="35"/>
        <v>-2.9999999999999983E-3</v>
      </c>
    </row>
    <row r="629" spans="1:10" x14ac:dyDescent="0.3">
      <c r="A629" s="1">
        <v>45657</v>
      </c>
      <c r="B629" s="3">
        <v>28.9</v>
      </c>
      <c r="C629" s="3">
        <v>4.5730000000000004</v>
      </c>
      <c r="D629" s="3">
        <v>317.60300000000001</v>
      </c>
      <c r="E629" s="3">
        <v>190.41</v>
      </c>
      <c r="F629" s="3">
        <v>4.335</v>
      </c>
      <c r="G629" s="9">
        <f t="shared" si="32"/>
        <v>6.7799461641991909E-2</v>
      </c>
      <c r="I629" s="4">
        <f t="shared" si="34"/>
        <v>1.569754204513614E-2</v>
      </c>
      <c r="J629" s="4">
        <f t="shared" si="35"/>
        <v>2.3800000000000045E-3</v>
      </c>
    </row>
    <row r="630" spans="1:10" x14ac:dyDescent="0.3">
      <c r="A630" s="1">
        <v>45688</v>
      </c>
      <c r="B630" s="3">
        <v>29</v>
      </c>
      <c r="C630" s="3">
        <v>4.5469999999999997</v>
      </c>
      <c r="D630" s="3">
        <v>319.08600000000001</v>
      </c>
      <c r="E630" s="3">
        <v>195.53</v>
      </c>
      <c r="F630" s="3">
        <v>4.2919999999999998</v>
      </c>
      <c r="G630" s="9">
        <f t="shared" si="32"/>
        <v>9.3935325053149832E-2</v>
      </c>
      <c r="I630" s="4">
        <f t="shared" si="34"/>
        <v>1.42988119395243E-2</v>
      </c>
      <c r="J630" s="4">
        <f t="shared" si="35"/>
        <v>2.5499999999999989E-3</v>
      </c>
    </row>
    <row r="631" spans="1:10" x14ac:dyDescent="0.3">
      <c r="A631" s="1">
        <v>45716</v>
      </c>
      <c r="B631" s="3">
        <v>27.8</v>
      </c>
      <c r="C631" s="3">
        <v>4.1970000000000001</v>
      </c>
      <c r="D631" s="3">
        <v>319.77499999999998</v>
      </c>
      <c r="E631" s="3">
        <v>200.32</v>
      </c>
      <c r="F631" s="3">
        <v>4.3070000000000004</v>
      </c>
      <c r="G631" s="9">
        <f t="shared" si="32"/>
        <v>9.7824299884912591E-2</v>
      </c>
      <c r="I631" s="4">
        <f t="shared" si="34"/>
        <v>1.0837425724360132E-2</v>
      </c>
      <c r="J631" s="4">
        <f t="shared" si="35"/>
        <v>-1.1000000000000031E-3</v>
      </c>
    </row>
    <row r="632" spans="1:10" x14ac:dyDescent="0.3">
      <c r="A632" s="1">
        <v>45747</v>
      </c>
      <c r="B632" s="3">
        <v>26.1</v>
      </c>
      <c r="C632" s="3">
        <v>4.2110000000000003</v>
      </c>
      <c r="D632" s="3">
        <v>319.61500000000001</v>
      </c>
      <c r="E632" s="3">
        <v>200.53</v>
      </c>
      <c r="F632" s="3">
        <v>4.3010000000000002</v>
      </c>
      <c r="G632" s="9">
        <f t="shared" si="32"/>
        <v>0.10024141336552184</v>
      </c>
      <c r="I632" s="4">
        <f t="shared" si="34"/>
        <v>1.1306387703707087E-2</v>
      </c>
      <c r="J632" s="4">
        <f t="shared" si="35"/>
        <v>-8.9999999999999857E-4</v>
      </c>
    </row>
  </sheetData>
  <dataValidations count="1">
    <dataValidation allowBlank="1" showErrorMessage="1" promptTitle="TRAFO" prompt="$A$1:$F$608" sqref="A1" xr:uid="{A3A60908-3747-4E3F-AD7C-5DDB3D906300}"/>
  </dataValidations>
  <pageMargins left="0.7" right="0.7" top="0.75" bottom="0.75" header="0.3" footer="0.3"/>
  <customProperties>
    <customPr name="REFI_OFFICE_FUNCTION_DATA" r:id="rId1"/>
  </customPropertie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321D-D8EE-42D4-82EA-49FD7F01ED45}">
  <dimension ref="A1:D585"/>
  <sheetViews>
    <sheetView workbookViewId="0">
      <selection activeCell="B2" sqref="B2"/>
    </sheetView>
  </sheetViews>
  <sheetFormatPr defaultRowHeight="14.4" x14ac:dyDescent="0.3"/>
  <cols>
    <col min="1" max="1" width="10.5546875" bestFit="1" customWidth="1"/>
    <col min="2" max="2" width="8.88671875" style="4"/>
    <col min="4" max="4" width="8.88671875" style="11"/>
  </cols>
  <sheetData>
    <row r="1" spans="1:4" x14ac:dyDescent="0.3">
      <c r="A1" s="1"/>
      <c r="B1" s="4" t="str">
        <f>'Raw Data'!I4</f>
        <v>Real Yield</v>
      </c>
      <c r="C1" t="str">
        <f>'Raw Data'!B4</f>
        <v>US-DS Market - PER</v>
      </c>
      <c r="D1" s="11" t="str">
        <f>'Raw Data'!H4</f>
        <v>12M FWD E</v>
      </c>
    </row>
    <row r="2" spans="1:4" x14ac:dyDescent="0.3">
      <c r="A2" s="1">
        <f>'Raw Data'!A127</f>
        <v>30375</v>
      </c>
      <c r="B2" s="4">
        <f>'Raw Data'!I127</f>
        <v>1.6835182528162948E-2</v>
      </c>
      <c r="C2">
        <f>'Raw Data'!B127</f>
        <v>10.8</v>
      </c>
      <c r="D2" s="11">
        <f>'Raw Data'!H127</f>
        <v>0.12314814814814823</v>
      </c>
    </row>
    <row r="3" spans="1:4" x14ac:dyDescent="0.3">
      <c r="A3" s="1">
        <f>'Raw Data'!A128</f>
        <v>30406</v>
      </c>
      <c r="B3" s="4">
        <f>'Raw Data'!I128</f>
        <v>2.1229505572635171E-2</v>
      </c>
      <c r="C3">
        <f>'Raw Data'!B128</f>
        <v>11.1</v>
      </c>
      <c r="D3" s="11">
        <f>'Raw Data'!H128</f>
        <v>0.12199630314232901</v>
      </c>
    </row>
    <row r="4" spans="1:4" x14ac:dyDescent="0.3">
      <c r="A4" s="1">
        <f>'Raw Data'!A129</f>
        <v>30435</v>
      </c>
      <c r="B4" s="4">
        <f>'Raw Data'!I129</f>
        <v>1.7705464835244142E-2</v>
      </c>
      <c r="C4">
        <f>'Raw Data'!B129</f>
        <v>11.9</v>
      </c>
      <c r="D4" s="11">
        <f>'Raw Data'!H129</f>
        <v>0.18316373728029589</v>
      </c>
    </row>
    <row r="5" spans="1:4" x14ac:dyDescent="0.3">
      <c r="A5" s="1">
        <f>'Raw Data'!A130</f>
        <v>30467</v>
      </c>
      <c r="B5" s="4">
        <f>'Raw Data'!I130</f>
        <v>2.3162513264077728E-2</v>
      </c>
      <c r="C5">
        <f>'Raw Data'!B130</f>
        <v>11.6</v>
      </c>
      <c r="D5" s="11">
        <f>'Raw Data'!H130</f>
        <v>0.20425138632162643</v>
      </c>
    </row>
    <row r="6" spans="1:4" x14ac:dyDescent="0.3">
      <c r="A6" s="1">
        <f>'Raw Data'!A131</f>
        <v>30497</v>
      </c>
      <c r="B6" s="4">
        <f>'Raw Data'!I131</f>
        <v>2.5182764609488734E-2</v>
      </c>
      <c r="C6">
        <f>'Raw Data'!B131</f>
        <v>11.7</v>
      </c>
      <c r="D6" s="11">
        <f>'Raw Data'!H131</f>
        <v>0.17493237150586105</v>
      </c>
    </row>
    <row r="7" spans="1:4" x14ac:dyDescent="0.3">
      <c r="A7" s="1">
        <f>'Raw Data'!A132</f>
        <v>30526</v>
      </c>
      <c r="B7" s="4">
        <f>'Raw Data'!I132</f>
        <v>3.2747167630723897E-2</v>
      </c>
      <c r="C7">
        <f>'Raw Data'!B132</f>
        <v>11.3</v>
      </c>
      <c r="D7" s="11">
        <f>'Raw Data'!H132</f>
        <v>0.21731289449954927</v>
      </c>
    </row>
    <row r="8" spans="1:4" x14ac:dyDescent="0.3">
      <c r="A8" s="1">
        <f>'Raw Data'!A133</f>
        <v>30559</v>
      </c>
      <c r="B8" s="4">
        <f>'Raw Data'!I133</f>
        <v>3.6566315769989685E-2</v>
      </c>
      <c r="C8">
        <f>'Raw Data'!B133</f>
        <v>11.4</v>
      </c>
      <c r="D8" s="11">
        <f>'Raw Data'!H133</f>
        <v>0.21492805755395694</v>
      </c>
    </row>
    <row r="9" spans="1:4" x14ac:dyDescent="0.3">
      <c r="A9" s="1">
        <f>'Raw Data'!A134</f>
        <v>30589</v>
      </c>
      <c r="B9" s="4">
        <f>'Raw Data'!I134</f>
        <v>3.1322515051233235E-2</v>
      </c>
      <c r="C9">
        <f>'Raw Data'!B134</f>
        <v>11.3</v>
      </c>
      <c r="D9" s="11">
        <f>'Raw Data'!H134</f>
        <v>0.17991266375545867</v>
      </c>
    </row>
    <row r="10" spans="1:4" x14ac:dyDescent="0.3">
      <c r="A10" s="1">
        <f>'Raw Data'!A135</f>
        <v>30620</v>
      </c>
      <c r="B10" s="4">
        <f>'Raw Data'!I135</f>
        <v>3.484600028707413E-2</v>
      </c>
      <c r="C10">
        <f>'Raw Data'!B135</f>
        <v>11.1</v>
      </c>
      <c r="D10" s="11">
        <f>'Raw Data'!H135</f>
        <v>0.18902439024390238</v>
      </c>
    </row>
    <row r="11" spans="1:4" x14ac:dyDescent="0.3">
      <c r="A11" s="1">
        <f>'Raw Data'!A136</f>
        <v>30650</v>
      </c>
      <c r="B11" s="4">
        <f>'Raw Data'!I136</f>
        <v>3.4134094531590164E-2</v>
      </c>
      <c r="C11">
        <f>'Raw Data'!B136</f>
        <v>11.2</v>
      </c>
      <c r="D11" s="11">
        <f>'Raw Data'!H136</f>
        <v>0.18166089965397925</v>
      </c>
    </row>
    <row r="12" spans="1:4" x14ac:dyDescent="0.3">
      <c r="A12" s="1">
        <f>'Raw Data'!A137</f>
        <v>30680</v>
      </c>
      <c r="B12" s="4">
        <f>'Raw Data'!I137</f>
        <v>3.6652254403057555E-2</v>
      </c>
      <c r="C12">
        <f>'Raw Data'!B137</f>
        <v>11.1</v>
      </c>
      <c r="D12" s="11">
        <f>'Raw Data'!H137</f>
        <v>0.17327586206896561</v>
      </c>
    </row>
    <row r="13" spans="1:4" x14ac:dyDescent="0.3">
      <c r="A13" s="1">
        <f>'Raw Data'!A138</f>
        <v>30712</v>
      </c>
      <c r="B13" s="4">
        <f>'Raw Data'!I138</f>
        <v>3.5569825096136237E-2</v>
      </c>
      <c r="C13">
        <f>'Raw Data'!B138</f>
        <v>10.5</v>
      </c>
      <c r="D13" s="11">
        <f>'Raw Data'!H138</f>
        <v>0.12561983471074378</v>
      </c>
    </row>
    <row r="14" spans="1:4" x14ac:dyDescent="0.3">
      <c r="A14" s="1">
        <f>'Raw Data'!A139</f>
        <v>30741</v>
      </c>
      <c r="B14" s="4">
        <f>'Raw Data'!I139</f>
        <v>3.9890419424345611E-2</v>
      </c>
      <c r="C14">
        <f>'Raw Data'!B139</f>
        <v>10</v>
      </c>
      <c r="D14" s="11">
        <f>'Raw Data'!H139</f>
        <v>0.11624072547403119</v>
      </c>
    </row>
    <row r="15" spans="1:4" x14ac:dyDescent="0.3">
      <c r="A15" s="1">
        <f>'Raw Data'!A140</f>
        <v>30771</v>
      </c>
      <c r="B15" s="4">
        <f>'Raw Data'!I140</f>
        <v>4.561082333005409E-2</v>
      </c>
      <c r="C15">
        <f>'Raw Data'!B140</f>
        <v>10.1</v>
      </c>
      <c r="D15" s="11">
        <f>'Raw Data'!H140</f>
        <v>0.11449752883031294</v>
      </c>
    </row>
    <row r="16" spans="1:4" x14ac:dyDescent="0.3">
      <c r="A16" s="1">
        <f>'Raw Data'!A141</f>
        <v>30802</v>
      </c>
      <c r="B16" s="4">
        <f>'Raw Data'!I141</f>
        <v>4.8767413826453915E-2</v>
      </c>
      <c r="C16">
        <f>'Raw Data'!B141</f>
        <v>9.6</v>
      </c>
      <c r="D16" s="11">
        <f>'Raw Data'!H141</f>
        <v>3.8311180609851503E-2</v>
      </c>
    </row>
    <row r="17" spans="1:4" x14ac:dyDescent="0.3">
      <c r="A17" s="1">
        <f>'Raw Data'!A142</f>
        <v>30833</v>
      </c>
      <c r="B17" s="4">
        <f>'Raw Data'!I142</f>
        <v>6.0574524091663529E-2</v>
      </c>
      <c r="C17">
        <f>'Raw Data'!B142</f>
        <v>8.9</v>
      </c>
      <c r="D17" s="11">
        <f>'Raw Data'!H142</f>
        <v>1.0744435917114492E-2</v>
      </c>
    </row>
    <row r="18" spans="1:4" x14ac:dyDescent="0.3">
      <c r="A18" s="1">
        <f>'Raw Data'!A143</f>
        <v>30862</v>
      </c>
      <c r="B18" s="4">
        <f>'Raw Data'!I143</f>
        <v>6.0550144997567529E-2</v>
      </c>
      <c r="C18">
        <f>'Raw Data'!B143</f>
        <v>9.1</v>
      </c>
      <c r="D18" s="11">
        <f>'Raw Data'!H143</f>
        <v>1.1511895625479607E-2</v>
      </c>
    </row>
    <row r="19" spans="1:4" x14ac:dyDescent="0.3">
      <c r="A19" s="1">
        <f>'Raw Data'!A144</f>
        <v>30894</v>
      </c>
      <c r="B19" s="4">
        <f>'Raw Data'!I144</f>
        <v>5.1493056630987022E-2</v>
      </c>
      <c r="C19">
        <f>'Raw Data'!B144</f>
        <v>8.6999999999999993</v>
      </c>
      <c r="D19" s="11">
        <f>'Raw Data'!H144</f>
        <v>-3.4074074074074145E-2</v>
      </c>
    </row>
    <row r="20" spans="1:4" x14ac:dyDescent="0.3">
      <c r="A20" s="1">
        <f>'Raw Data'!A145</f>
        <v>30925</v>
      </c>
      <c r="B20" s="4">
        <f>'Raw Data'!I145</f>
        <v>5.1286068571948146E-2</v>
      </c>
      <c r="C20">
        <f>'Raw Data'!B145</f>
        <v>9.6</v>
      </c>
      <c r="D20" s="11">
        <f>'Raw Data'!H145</f>
        <v>-3.5529237601776509E-2</v>
      </c>
    </row>
    <row r="21" spans="1:4" x14ac:dyDescent="0.3">
      <c r="A21" s="1">
        <f>'Raw Data'!A146</f>
        <v>30953</v>
      </c>
      <c r="B21" s="4">
        <f>'Raw Data'!I146</f>
        <v>4.927626698838436E-2</v>
      </c>
      <c r="C21">
        <f>'Raw Data'!B146</f>
        <v>9.6</v>
      </c>
      <c r="D21" s="11">
        <f>'Raw Data'!H146</f>
        <v>-4.9592894152479694E-2</v>
      </c>
    </row>
    <row r="22" spans="1:4" x14ac:dyDescent="0.3">
      <c r="A22" s="1">
        <f>'Raw Data'!A147</f>
        <v>30986</v>
      </c>
      <c r="B22" s="4">
        <f>'Raw Data'!I147</f>
        <v>4.2912896766189021E-2</v>
      </c>
      <c r="C22">
        <f>'Raw Data'!B147</f>
        <v>9.5</v>
      </c>
      <c r="D22" s="11">
        <f>'Raw Data'!H147</f>
        <v>-5.9340659340659352E-2</v>
      </c>
    </row>
    <row r="23" spans="1:4" x14ac:dyDescent="0.3">
      <c r="A23" s="1">
        <f>'Raw Data'!A148</f>
        <v>31016</v>
      </c>
      <c r="B23" s="4">
        <f>'Raw Data'!I148</f>
        <v>4.1656971202175139E-2</v>
      </c>
      <c r="C23">
        <f>'Raw Data'!B148</f>
        <v>9.4</v>
      </c>
      <c r="D23" s="11">
        <f>'Raw Data'!H148</f>
        <v>-6.0761346998535859E-2</v>
      </c>
    </row>
    <row r="24" spans="1:4" x14ac:dyDescent="0.3">
      <c r="A24" s="1">
        <f>'Raw Data'!A149</f>
        <v>31047</v>
      </c>
      <c r="B24" s="4">
        <f>'Raw Data'!I149</f>
        <v>4.198402841503597E-2</v>
      </c>
      <c r="C24">
        <f>'Raw Data'!B149</f>
        <v>9.6</v>
      </c>
      <c r="D24" s="11">
        <f>'Raw Data'!H149</f>
        <v>-6.3923585598824384E-2</v>
      </c>
    </row>
    <row r="25" spans="1:4" x14ac:dyDescent="0.3">
      <c r="A25" s="1">
        <f>'Raw Data'!A150</f>
        <v>31078</v>
      </c>
      <c r="B25" s="4">
        <f>'Raw Data'!I150</f>
        <v>3.8804731993591218E-2</v>
      </c>
      <c r="C25">
        <f>'Raw Data'!B150</f>
        <v>10.3</v>
      </c>
      <c r="D25" s="11">
        <f>'Raw Data'!H150</f>
        <v>-6.2408223201174673E-2</v>
      </c>
    </row>
    <row r="26" spans="1:4" x14ac:dyDescent="0.3">
      <c r="A26" s="1">
        <f>'Raw Data'!A151</f>
        <v>31106</v>
      </c>
      <c r="B26" s="4">
        <f>'Raw Data'!I151</f>
        <v>4.6211100273417585E-2</v>
      </c>
      <c r="C26">
        <f>'Raw Data'!B151</f>
        <v>10.5</v>
      </c>
      <c r="D26" s="11">
        <f>'Raw Data'!H151</f>
        <v>-5.0221565731166873E-2</v>
      </c>
    </row>
    <row r="27" spans="1:4" x14ac:dyDescent="0.3">
      <c r="A27" s="1">
        <f>'Raw Data'!A152</f>
        <v>31135</v>
      </c>
      <c r="B27" s="4">
        <f>'Raw Data'!I152</f>
        <v>4.3514796640053713E-2</v>
      </c>
      <c r="C27">
        <f>'Raw Data'!B152</f>
        <v>10.5</v>
      </c>
      <c r="D27" s="11">
        <f>'Raw Data'!H152</f>
        <v>-3.3998521803399795E-2</v>
      </c>
    </row>
    <row r="28" spans="1:4" x14ac:dyDescent="0.3">
      <c r="A28" s="1">
        <f>'Raw Data'!A153</f>
        <v>31167</v>
      </c>
      <c r="B28" s="4">
        <f>'Raw Data'!I153</f>
        <v>4.131969738663091E-2</v>
      </c>
      <c r="C28">
        <f>'Raw Data'!B153</f>
        <v>10.6</v>
      </c>
      <c r="D28" s="11">
        <f>'Raw Data'!H153</f>
        <v>-1.6566265060240837E-2</v>
      </c>
    </row>
    <row r="29" spans="1:4" x14ac:dyDescent="0.3">
      <c r="A29" s="1">
        <f>'Raw Data'!A154</f>
        <v>31198</v>
      </c>
      <c r="B29" s="4">
        <f>'Raw Data'!I154</f>
        <v>3.0021585534190973E-2</v>
      </c>
      <c r="C29">
        <f>'Raw Data'!B154</f>
        <v>11.3</v>
      </c>
      <c r="D29" s="11">
        <f>'Raw Data'!H154</f>
        <v>-6.8337129840546629E-3</v>
      </c>
    </row>
    <row r="30" spans="1:4" x14ac:dyDescent="0.3">
      <c r="A30" s="1">
        <f>'Raw Data'!A155</f>
        <v>31226</v>
      </c>
      <c r="B30" s="4">
        <f>'Raw Data'!I155</f>
        <v>3.0226758781139965E-2</v>
      </c>
      <c r="C30">
        <f>'Raw Data'!B155</f>
        <v>11.4</v>
      </c>
      <c r="D30" s="11">
        <f>'Raw Data'!H155</f>
        <v>2.1244309559939278E-2</v>
      </c>
    </row>
    <row r="31" spans="1:4" x14ac:dyDescent="0.3">
      <c r="A31" s="1">
        <f>'Raw Data'!A156</f>
        <v>31259</v>
      </c>
      <c r="B31" s="4">
        <f>'Raw Data'!I156</f>
        <v>3.4224625113993143E-2</v>
      </c>
      <c r="C31">
        <f>'Raw Data'!B156</f>
        <v>11.4</v>
      </c>
      <c r="D31" s="11">
        <f>'Raw Data'!H156</f>
        <v>3.2975460122699474E-2</v>
      </c>
    </row>
    <row r="32" spans="1:4" x14ac:dyDescent="0.3">
      <c r="A32" s="1">
        <f>'Raw Data'!A157</f>
        <v>31289</v>
      </c>
      <c r="B32" s="4">
        <f>'Raw Data'!I157</f>
        <v>3.1521927041718176E-2</v>
      </c>
      <c r="C32">
        <f>'Raw Data'!B157</f>
        <v>11.3</v>
      </c>
      <c r="D32" s="11">
        <f>'Raw Data'!H157</f>
        <v>3.4535686876439042E-2</v>
      </c>
    </row>
    <row r="33" spans="1:4" x14ac:dyDescent="0.3">
      <c r="A33" s="1">
        <f>'Raw Data'!A158</f>
        <v>31320</v>
      </c>
      <c r="B33" s="4">
        <f>'Raw Data'!I158</f>
        <v>3.2411088103923499E-2</v>
      </c>
      <c r="C33">
        <f>'Raw Data'!B158</f>
        <v>11.1</v>
      </c>
      <c r="D33" s="11">
        <f>'Raw Data'!H158</f>
        <v>6.3862928348909609E-2</v>
      </c>
    </row>
    <row r="34" spans="1:4" x14ac:dyDescent="0.3">
      <c r="A34" s="1">
        <f>'Raw Data'!A159</f>
        <v>31351</v>
      </c>
      <c r="B34" s="4">
        <f>'Raw Data'!I159</f>
        <v>2.9602297934008398E-2</v>
      </c>
      <c r="C34">
        <f>'Raw Data'!B159</f>
        <v>11.6</v>
      </c>
      <c r="D34" s="11">
        <f>'Raw Data'!H159</f>
        <v>6.3862928348909609E-2</v>
      </c>
    </row>
    <row r="35" spans="1:4" x14ac:dyDescent="0.3">
      <c r="A35" s="1">
        <f>'Raw Data'!A160</f>
        <v>31380</v>
      </c>
      <c r="B35" s="4">
        <f>'Raw Data'!I160</f>
        <v>2.5687210525215401E-2</v>
      </c>
      <c r="C35">
        <f>'Raw Data'!B160</f>
        <v>12.4</v>
      </c>
      <c r="D35" s="11">
        <f>'Raw Data'!H160</f>
        <v>6.4692127825409118E-2</v>
      </c>
    </row>
    <row r="36" spans="1:4" x14ac:dyDescent="0.3">
      <c r="A36" s="1">
        <f>'Raw Data'!A161</f>
        <v>31412</v>
      </c>
      <c r="B36" s="4">
        <f>'Raw Data'!I161</f>
        <v>1.9876422495361062E-2</v>
      </c>
      <c r="C36">
        <f>'Raw Data'!B161</f>
        <v>13</v>
      </c>
      <c r="D36" s="11">
        <f>'Raw Data'!H161</f>
        <v>8.5557299843014079E-2</v>
      </c>
    </row>
    <row r="37" spans="1:4" x14ac:dyDescent="0.3">
      <c r="A37" s="1">
        <f>'Raw Data'!A162</f>
        <v>31443</v>
      </c>
      <c r="B37" s="4">
        <f>'Raw Data'!I162</f>
        <v>2.0670467880774104E-2</v>
      </c>
      <c r="C37">
        <f>'Raw Data'!B162</f>
        <v>13.1</v>
      </c>
      <c r="D37" s="11">
        <f>'Raw Data'!H162</f>
        <v>8.2223962411902995E-2</v>
      </c>
    </row>
    <row r="38" spans="1:4" x14ac:dyDescent="0.3">
      <c r="A38" s="1">
        <f>'Raw Data'!A163</f>
        <v>31471</v>
      </c>
      <c r="B38" s="4">
        <f>'Raw Data'!I163</f>
        <v>1.1556929393126664E-2</v>
      </c>
      <c r="C38">
        <f>'Raw Data'!B163</f>
        <v>14</v>
      </c>
      <c r="D38" s="11">
        <f>'Raw Data'!H163</f>
        <v>8.0870917573872658E-2</v>
      </c>
    </row>
    <row r="39" spans="1:4" x14ac:dyDescent="0.3">
      <c r="A39" s="1">
        <f>'Raw Data'!A164</f>
        <v>31502</v>
      </c>
      <c r="B39" s="4">
        <f>'Raw Data'!I164</f>
        <v>4.9345407909232863E-3</v>
      </c>
      <c r="C39">
        <f>'Raw Data'!B164</f>
        <v>14.5</v>
      </c>
      <c r="D39" s="11">
        <f>'Raw Data'!H164</f>
        <v>8.4927314460596648E-2</v>
      </c>
    </row>
    <row r="40" spans="1:4" x14ac:dyDescent="0.3">
      <c r="A40" s="1">
        <f>'Raw Data'!A165</f>
        <v>31532</v>
      </c>
      <c r="B40" s="4">
        <f>'Raw Data'!I165</f>
        <v>5.4177396665585908E-3</v>
      </c>
      <c r="C40">
        <f>'Raw Data'!B165</f>
        <v>14.4</v>
      </c>
      <c r="D40" s="11">
        <f>'Raw Data'!H165</f>
        <v>8.8055130168453344E-2</v>
      </c>
    </row>
    <row r="41" spans="1:4" x14ac:dyDescent="0.3">
      <c r="A41" s="1">
        <f>'Raw Data'!A166</f>
        <v>31562</v>
      </c>
      <c r="B41" s="4">
        <f>'Raw Data'!I166</f>
        <v>1.2393053846475363E-2</v>
      </c>
      <c r="C41">
        <f>'Raw Data'!B166</f>
        <v>15.1</v>
      </c>
      <c r="D41" s="11">
        <f>'Raw Data'!H166</f>
        <v>8.7920489296636095E-2</v>
      </c>
    </row>
    <row r="42" spans="1:4" x14ac:dyDescent="0.3">
      <c r="A42" s="1">
        <f>'Raw Data'!A167</f>
        <v>31593</v>
      </c>
      <c r="B42" s="4">
        <f>'Raw Data'!I167</f>
        <v>5.5684273580581672E-3</v>
      </c>
      <c r="C42">
        <f>'Raw Data'!B167</f>
        <v>15</v>
      </c>
      <c r="D42" s="11">
        <f>'Raw Data'!H167</f>
        <v>4.9777117384844027E-2</v>
      </c>
    </row>
    <row r="43" spans="1:4" x14ac:dyDescent="0.3">
      <c r="A43" s="1">
        <f>'Raw Data'!A168</f>
        <v>31624</v>
      </c>
      <c r="B43" s="4">
        <f>'Raw Data'!I168</f>
        <v>5.9343067407092442E-3</v>
      </c>
      <c r="C43">
        <f>'Raw Data'!B168</f>
        <v>14.2</v>
      </c>
      <c r="D43" s="11">
        <f>'Raw Data'!H168</f>
        <v>5.0482553823311127E-2</v>
      </c>
    </row>
    <row r="44" spans="1:4" x14ac:dyDescent="0.3">
      <c r="A44" s="1">
        <f>'Raw Data'!A169</f>
        <v>31653</v>
      </c>
      <c r="B44" s="4">
        <f>'Raw Data'!I169</f>
        <v>2.4971161514967255E-3</v>
      </c>
      <c r="C44">
        <f>'Raw Data'!B169</f>
        <v>15.1</v>
      </c>
      <c r="D44" s="11">
        <f>'Raw Data'!H169</f>
        <v>5.1928783382789279E-2</v>
      </c>
    </row>
    <row r="45" spans="1:4" x14ac:dyDescent="0.3">
      <c r="A45" s="1">
        <f>'Raw Data'!A170</f>
        <v>31685</v>
      </c>
      <c r="B45" s="4">
        <f>'Raw Data'!I170</f>
        <v>7.6655775602356563E-3</v>
      </c>
      <c r="C45">
        <f>'Raw Data'!B170</f>
        <v>13.5</v>
      </c>
      <c r="D45" s="11">
        <f>'Raw Data'!H170</f>
        <v>9.07759882869692E-2</v>
      </c>
    </row>
    <row r="46" spans="1:4" x14ac:dyDescent="0.3">
      <c r="A46" s="1">
        <f>'Raw Data'!A171</f>
        <v>31716</v>
      </c>
      <c r="B46" s="4">
        <f>'Raw Data'!I171</f>
        <v>6.9259238632718156E-3</v>
      </c>
      <c r="C46">
        <f>'Raw Data'!B171</f>
        <v>14.2</v>
      </c>
      <c r="D46" s="11">
        <f>'Raw Data'!H171</f>
        <v>9.1508052708638266E-2</v>
      </c>
    </row>
    <row r="47" spans="1:4" x14ac:dyDescent="0.3">
      <c r="A47" s="1">
        <f>'Raw Data'!A172</f>
        <v>31744</v>
      </c>
      <c r="B47" s="4">
        <f>'Raw Data'!I172</f>
        <v>5.200282615829388E-3</v>
      </c>
      <c r="C47">
        <f>'Raw Data'!B172</f>
        <v>14.5</v>
      </c>
      <c r="D47" s="11">
        <f>'Raw Data'!H172</f>
        <v>9.4436310395314749E-2</v>
      </c>
    </row>
    <row r="48" spans="1:4" x14ac:dyDescent="0.3">
      <c r="A48" s="1">
        <f>'Raw Data'!A173</f>
        <v>31777</v>
      </c>
      <c r="B48" s="4">
        <f>'Raw Data'!I173</f>
        <v>6.1637962565783411E-3</v>
      </c>
      <c r="C48">
        <f>'Raw Data'!B173</f>
        <v>13.9</v>
      </c>
      <c r="D48" s="11">
        <f>'Raw Data'!H173</f>
        <v>0.1417208966015906</v>
      </c>
    </row>
    <row r="49" spans="1:4" x14ac:dyDescent="0.3">
      <c r="A49" s="1">
        <f>'Raw Data'!A174</f>
        <v>31807</v>
      </c>
      <c r="B49" s="4">
        <f>'Raw Data'!I174</f>
        <v>5.6342941346144981E-3</v>
      </c>
      <c r="C49">
        <f>'Raw Data'!B174</f>
        <v>15.8</v>
      </c>
      <c r="D49" s="11">
        <f>'Raw Data'!H174</f>
        <v>0.14327062228654119</v>
      </c>
    </row>
    <row r="50" spans="1:4" x14ac:dyDescent="0.3">
      <c r="A50" s="1">
        <f>'Raw Data'!A175</f>
        <v>31835</v>
      </c>
      <c r="B50" s="4">
        <f>'Raw Data'!I175</f>
        <v>6.4361700049208465E-3</v>
      </c>
      <c r="C50">
        <f>'Raw Data'!B175</f>
        <v>16.2</v>
      </c>
      <c r="D50" s="11">
        <f>'Raw Data'!H175</f>
        <v>0.13956834532374107</v>
      </c>
    </row>
    <row r="51" spans="1:4" x14ac:dyDescent="0.3">
      <c r="A51" s="1">
        <f>'Raw Data'!A176</f>
        <v>31867</v>
      </c>
      <c r="B51" s="4">
        <f>'Raw Data'!I176</f>
        <v>9.7932968271801646E-3</v>
      </c>
      <c r="C51">
        <f>'Raw Data'!B176</f>
        <v>16.2</v>
      </c>
      <c r="D51" s="11">
        <f>'Raw Data'!H176</f>
        <v>0.16502115655853311</v>
      </c>
    </row>
    <row r="52" spans="1:4" x14ac:dyDescent="0.3">
      <c r="A52" s="1">
        <f>'Raw Data'!A177</f>
        <v>31897</v>
      </c>
      <c r="B52" s="4">
        <f>'Raw Data'!I177</f>
        <v>1.7032171482297132E-2</v>
      </c>
      <c r="C52">
        <f>'Raw Data'!B177</f>
        <v>15.9</v>
      </c>
      <c r="D52" s="11">
        <f>'Raw Data'!H177</f>
        <v>0.16256157635467972</v>
      </c>
    </row>
    <row r="53" spans="1:4" x14ac:dyDescent="0.3">
      <c r="A53" s="1">
        <f>'Raw Data'!A178</f>
        <v>31926</v>
      </c>
      <c r="B53" s="4">
        <f>'Raw Data'!I178</f>
        <v>1.9903463929904747E-2</v>
      </c>
      <c r="C53">
        <f>'Raw Data'!B178</f>
        <v>15.9</v>
      </c>
      <c r="D53" s="11">
        <f>'Raw Data'!H178</f>
        <v>0.16654954321855242</v>
      </c>
    </row>
    <row r="54" spans="1:4" x14ac:dyDescent="0.3">
      <c r="A54" s="1">
        <f>'Raw Data'!A179</f>
        <v>31958</v>
      </c>
      <c r="B54" s="4">
        <f>'Raw Data'!I179</f>
        <v>1.8862675506855636E-2</v>
      </c>
      <c r="C54">
        <f>'Raw Data'!B179</f>
        <v>16.899999999999999</v>
      </c>
      <c r="D54" s="11">
        <f>'Raw Data'!H179</f>
        <v>0.25406935598018388</v>
      </c>
    </row>
    <row r="55" spans="1:4" x14ac:dyDescent="0.3">
      <c r="A55" s="1">
        <f>'Raw Data'!A180</f>
        <v>31989</v>
      </c>
      <c r="B55" s="4">
        <f>'Raw Data'!I180</f>
        <v>2.1908300439553927E-2</v>
      </c>
      <c r="C55">
        <f>'Raw Data'!B180</f>
        <v>17.5</v>
      </c>
      <c r="D55" s="11">
        <f>'Raw Data'!H180</f>
        <v>0.25017667844522973</v>
      </c>
    </row>
    <row r="56" spans="1:4" x14ac:dyDescent="0.3">
      <c r="A56" s="1">
        <f>'Raw Data'!A181</f>
        <v>32020</v>
      </c>
      <c r="B56" s="4">
        <f>'Raw Data'!I181</f>
        <v>2.5065582303466782E-2</v>
      </c>
      <c r="C56">
        <f>'Raw Data'!B181</f>
        <v>18.3</v>
      </c>
      <c r="D56" s="11">
        <f>'Raw Data'!H181</f>
        <v>0.2510578279266571</v>
      </c>
    </row>
    <row r="57" spans="1:4" x14ac:dyDescent="0.3">
      <c r="A57" s="1">
        <f>'Raw Data'!A182</f>
        <v>32050</v>
      </c>
      <c r="B57" s="4">
        <f>'Raw Data'!I182</f>
        <v>3.171157702116173E-2</v>
      </c>
      <c r="C57">
        <f>'Raw Data'!B182</f>
        <v>16.899999999999999</v>
      </c>
      <c r="D57" s="11">
        <f>'Raw Data'!H182</f>
        <v>0.22416107382550332</v>
      </c>
    </row>
    <row r="58" spans="1:4" x14ac:dyDescent="0.3">
      <c r="A58" s="1">
        <f>'Raw Data'!A183</f>
        <v>32080</v>
      </c>
      <c r="B58" s="4">
        <f>'Raw Data'!I183</f>
        <v>2.36832188981701E-2</v>
      </c>
      <c r="C58">
        <f>'Raw Data'!B183</f>
        <v>13.5</v>
      </c>
      <c r="D58" s="11">
        <f>'Raw Data'!H183</f>
        <v>0.22535211267605626</v>
      </c>
    </row>
    <row r="59" spans="1:4" x14ac:dyDescent="0.3">
      <c r="A59" s="1">
        <f>'Raw Data'!A184</f>
        <v>32111</v>
      </c>
      <c r="B59" s="4">
        <f>'Raw Data'!I184</f>
        <v>2.5792526769124344E-2</v>
      </c>
      <c r="C59">
        <f>'Raw Data'!B184</f>
        <v>12.3</v>
      </c>
      <c r="D59" s="11">
        <f>'Raw Data'!H184</f>
        <v>0.23143812709030098</v>
      </c>
    </row>
    <row r="60" spans="1:4" x14ac:dyDescent="0.3">
      <c r="A60" s="1">
        <f>'Raw Data'!A185</f>
        <v>32142</v>
      </c>
      <c r="B60" s="4">
        <f>'Raw Data'!I185</f>
        <v>2.4571860632438908E-2</v>
      </c>
      <c r="C60">
        <f>'Raw Data'!B185</f>
        <v>12.4</v>
      </c>
      <c r="D60" s="11">
        <f>'Raw Data'!H185</f>
        <v>0.15072830905636492</v>
      </c>
    </row>
    <row r="61" spans="1:4" x14ac:dyDescent="0.3">
      <c r="A61" s="1">
        <f>'Raw Data'!A186</f>
        <v>32171</v>
      </c>
      <c r="B61" s="4">
        <f>'Raw Data'!I186</f>
        <v>1.9265177915064866E-2</v>
      </c>
      <c r="C61">
        <f>'Raw Data'!B186</f>
        <v>12.9</v>
      </c>
      <c r="D61" s="11">
        <f>'Raw Data'!H186</f>
        <v>0.17594936708860742</v>
      </c>
    </row>
    <row r="62" spans="1:4" x14ac:dyDescent="0.3">
      <c r="A62" s="1">
        <f>'Raw Data'!A187</f>
        <v>32202</v>
      </c>
      <c r="B62" s="4">
        <f>'Raw Data'!I187</f>
        <v>1.8389548669448488E-2</v>
      </c>
      <c r="C62">
        <f>'Raw Data'!B187</f>
        <v>13.4</v>
      </c>
      <c r="D62" s="11">
        <f>'Raw Data'!H187</f>
        <v>0.17803030303030298</v>
      </c>
    </row>
    <row r="63" spans="1:4" x14ac:dyDescent="0.3">
      <c r="A63" s="1">
        <f>'Raw Data'!A188</f>
        <v>32233</v>
      </c>
      <c r="B63" s="4">
        <f>'Raw Data'!I188</f>
        <v>2.2958222924825925E-2</v>
      </c>
      <c r="C63">
        <f>'Raw Data'!B188</f>
        <v>12.4</v>
      </c>
      <c r="D63" s="11">
        <f>'Raw Data'!H188</f>
        <v>0.12953995157385001</v>
      </c>
    </row>
    <row r="64" spans="1:4" x14ac:dyDescent="0.3">
      <c r="A64" s="1">
        <f>'Raw Data'!A189</f>
        <v>32262</v>
      </c>
      <c r="B64" s="4">
        <f>'Raw Data'!I189</f>
        <v>2.6136392849033005E-2</v>
      </c>
      <c r="C64">
        <f>'Raw Data'!B189</f>
        <v>12.5</v>
      </c>
      <c r="D64" s="11">
        <f>'Raw Data'!H189</f>
        <v>0.16404358353510906</v>
      </c>
    </row>
    <row r="65" spans="1:4" x14ac:dyDescent="0.3">
      <c r="A65" s="1">
        <f>'Raw Data'!A190</f>
        <v>32294</v>
      </c>
      <c r="B65" s="4">
        <f>'Raw Data'!I190</f>
        <v>3.0317545213831065E-2</v>
      </c>
      <c r="C65">
        <f>'Raw Data'!B190</f>
        <v>12.4</v>
      </c>
      <c r="D65" s="11">
        <f>'Raw Data'!H190</f>
        <v>0.1686746987951806</v>
      </c>
    </row>
    <row r="66" spans="1:4" x14ac:dyDescent="0.3">
      <c r="A66" s="1">
        <f>'Raw Data'!A191</f>
        <v>32324</v>
      </c>
      <c r="B66" s="4">
        <f>'Raw Data'!I191</f>
        <v>2.6656541100585185E-2</v>
      </c>
      <c r="C66">
        <f>'Raw Data'!B191</f>
        <v>12.1</v>
      </c>
      <c r="D66" s="11">
        <f>'Raw Data'!H191</f>
        <v>9.424379232505653E-2</v>
      </c>
    </row>
    <row r="67" spans="1:4" x14ac:dyDescent="0.3">
      <c r="A67" s="1">
        <f>'Raw Data'!A192</f>
        <v>32353</v>
      </c>
      <c r="B67" s="4">
        <f>'Raw Data'!I192</f>
        <v>3.0111035148262411E-2</v>
      </c>
      <c r="C67">
        <f>'Raw Data'!B192</f>
        <v>12.1</v>
      </c>
      <c r="D67" s="11">
        <f>'Raw Data'!H192</f>
        <v>0.11531938948558507</v>
      </c>
    </row>
    <row r="68" spans="1:4" x14ac:dyDescent="0.3">
      <c r="A68" s="1">
        <f>'Raw Data'!A193</f>
        <v>32386</v>
      </c>
      <c r="B68" s="4">
        <f>'Raw Data'!I193</f>
        <v>3.1660262278041015E-2</v>
      </c>
      <c r="C68">
        <f>'Raw Data'!B193</f>
        <v>11.7</v>
      </c>
      <c r="D68" s="11">
        <f>'Raw Data'!H193</f>
        <v>0.11386696730552437</v>
      </c>
    </row>
    <row r="69" spans="1:4" x14ac:dyDescent="0.3">
      <c r="A69" s="1">
        <f>'Raw Data'!A194</f>
        <v>32416</v>
      </c>
      <c r="B69" s="4">
        <f>'Raw Data'!I194</f>
        <v>2.8206851506332911E-2</v>
      </c>
      <c r="C69">
        <f>'Raw Data'!B194</f>
        <v>11.9</v>
      </c>
      <c r="D69" s="11">
        <f>'Raw Data'!H194</f>
        <v>8.0043859649122862E-2</v>
      </c>
    </row>
    <row r="70" spans="1:4" x14ac:dyDescent="0.3">
      <c r="A70" s="1">
        <f>'Raw Data'!A195</f>
        <v>32447</v>
      </c>
      <c r="B70" s="4">
        <f>'Raw Data'!I195</f>
        <v>2.66547706949401E-2</v>
      </c>
      <c r="C70">
        <f>'Raw Data'!B195</f>
        <v>12</v>
      </c>
      <c r="D70" s="11">
        <f>'Raw Data'!H195</f>
        <v>6.075533661740562E-2</v>
      </c>
    </row>
    <row r="71" spans="1:4" x14ac:dyDescent="0.3">
      <c r="A71" s="1">
        <f>'Raw Data'!A196</f>
        <v>32477</v>
      </c>
      <c r="B71" s="4">
        <f>'Raw Data'!I196</f>
        <v>3.113165042679851E-2</v>
      </c>
      <c r="C71">
        <f>'Raw Data'!B196</f>
        <v>11.7</v>
      </c>
      <c r="D71" s="11">
        <f>'Raw Data'!H196</f>
        <v>4.9972840847365418E-2</v>
      </c>
    </row>
    <row r="72" spans="1:4" x14ac:dyDescent="0.3">
      <c r="A72" s="1">
        <f>'Raw Data'!A197</f>
        <v>32507</v>
      </c>
      <c r="B72" s="4">
        <f>'Raw Data'!I197</f>
        <v>3.2235909206323313E-2</v>
      </c>
      <c r="C72">
        <f>'Raw Data'!B197</f>
        <v>12.1</v>
      </c>
      <c r="D72" s="11">
        <f>'Raw Data'!H197</f>
        <v>6.2190423775454029E-2</v>
      </c>
    </row>
    <row r="73" spans="1:4" x14ac:dyDescent="0.3">
      <c r="A73" s="1">
        <f>'Raw Data'!A198</f>
        <v>32539</v>
      </c>
      <c r="B73" s="4">
        <f>'Raw Data'!I198</f>
        <v>3.1309786609572343E-2</v>
      </c>
      <c r="C73">
        <f>'Raw Data'!B198</f>
        <v>12.5</v>
      </c>
      <c r="D73" s="11">
        <f>'Raw Data'!H198</f>
        <v>2.2604951560818209E-2</v>
      </c>
    </row>
    <row r="74" spans="1:4" x14ac:dyDescent="0.3">
      <c r="A74" s="1">
        <f>'Raw Data'!A199</f>
        <v>32567</v>
      </c>
      <c r="B74" s="4">
        <f>'Raw Data'!I199</f>
        <v>3.5237112640580465E-2</v>
      </c>
      <c r="C74">
        <f>'Raw Data'!B199</f>
        <v>12.1</v>
      </c>
      <c r="D74" s="11">
        <f>'Raw Data'!H199</f>
        <v>3.2690246516613009E-2</v>
      </c>
    </row>
    <row r="75" spans="1:4" x14ac:dyDescent="0.3">
      <c r="A75" s="1">
        <f>'Raw Data'!A200</f>
        <v>32598</v>
      </c>
      <c r="B75" s="4">
        <f>'Raw Data'!I200</f>
        <v>3.559106775626629E-2</v>
      </c>
      <c r="C75">
        <f>'Raw Data'!B200</f>
        <v>12.4</v>
      </c>
      <c r="D75" s="11">
        <f>'Raw Data'!H200</f>
        <v>3.4833869239013771E-2</v>
      </c>
    </row>
    <row r="76" spans="1:4" x14ac:dyDescent="0.3">
      <c r="A76" s="1">
        <f>'Raw Data'!A201</f>
        <v>32626</v>
      </c>
      <c r="B76" s="4">
        <f>'Raw Data'!I201</f>
        <v>3.300877117844378E-2</v>
      </c>
      <c r="C76">
        <f>'Raw Data'!B201</f>
        <v>12.7</v>
      </c>
      <c r="D76" s="11">
        <f>'Raw Data'!H201</f>
        <v>-1.14404576183047E-2</v>
      </c>
    </row>
    <row r="77" spans="1:4" x14ac:dyDescent="0.3">
      <c r="A77" s="1">
        <f>'Raw Data'!A202</f>
        <v>32659</v>
      </c>
      <c r="B77" s="4">
        <f>'Raw Data'!I202</f>
        <v>2.9535723117563417E-2</v>
      </c>
      <c r="C77">
        <f>'Raw Data'!B202</f>
        <v>13.1</v>
      </c>
      <c r="D77" s="11">
        <f>'Raw Data'!H202</f>
        <v>-3.5051546391752564E-2</v>
      </c>
    </row>
    <row r="78" spans="1:4" x14ac:dyDescent="0.3">
      <c r="A78" s="1">
        <f>'Raw Data'!A203</f>
        <v>32689</v>
      </c>
      <c r="B78" s="4">
        <f>'Raw Data'!I203</f>
        <v>2.5311476986122031E-2</v>
      </c>
      <c r="C78">
        <f>'Raw Data'!B203</f>
        <v>13</v>
      </c>
      <c r="D78" s="11">
        <f>'Raw Data'!H203</f>
        <v>-3.4038164002062943E-2</v>
      </c>
    </row>
    <row r="79" spans="1:4" x14ac:dyDescent="0.3">
      <c r="A79" s="1">
        <f>'Raw Data'!A204</f>
        <v>32720</v>
      </c>
      <c r="B79" s="4">
        <f>'Raw Data'!I204</f>
        <v>2.3294714262742169E-2</v>
      </c>
      <c r="C79">
        <f>'Raw Data'!B204</f>
        <v>14</v>
      </c>
      <c r="D79" s="11">
        <f>'Raw Data'!H204</f>
        <v>-4.3081601621895671E-2</v>
      </c>
    </row>
    <row r="80" spans="1:4" x14ac:dyDescent="0.3">
      <c r="A80" s="1">
        <f>'Raw Data'!A205</f>
        <v>32751</v>
      </c>
      <c r="B80" s="4">
        <f>'Raw Data'!I205</f>
        <v>2.8730901147520568E-2</v>
      </c>
      <c r="C80">
        <f>'Raw Data'!B205</f>
        <v>14.1</v>
      </c>
      <c r="D80" s="11">
        <f>'Raw Data'!H205</f>
        <v>-3.8967611336032548E-2</v>
      </c>
    </row>
    <row r="81" spans="1:4" x14ac:dyDescent="0.3">
      <c r="A81" s="1">
        <f>'Raw Data'!A206</f>
        <v>32780</v>
      </c>
      <c r="B81" s="4">
        <f>'Raw Data'!I206</f>
        <v>2.9943209998056178E-2</v>
      </c>
      <c r="C81">
        <f>'Raw Data'!B206</f>
        <v>14.1</v>
      </c>
      <c r="D81" s="11">
        <f>'Raw Data'!H206</f>
        <v>-3.6040609137055868E-2</v>
      </c>
    </row>
    <row r="82" spans="1:4" x14ac:dyDescent="0.3">
      <c r="A82" s="1">
        <f>'Raw Data'!A207</f>
        <v>32812</v>
      </c>
      <c r="B82" s="4">
        <f>'Raw Data'!I207</f>
        <v>2.6764255002277609E-2</v>
      </c>
      <c r="C82">
        <f>'Raw Data'!B207</f>
        <v>14.1</v>
      </c>
      <c r="D82" s="11">
        <f>'Raw Data'!H207</f>
        <v>1.0319917440659854E-3</v>
      </c>
    </row>
    <row r="83" spans="1:4" x14ac:dyDescent="0.3">
      <c r="A83" s="1">
        <f>'Raw Data'!A208</f>
        <v>32842</v>
      </c>
      <c r="B83" s="4">
        <f>'Raw Data'!I208</f>
        <v>2.6608947342971701E-2</v>
      </c>
      <c r="C83">
        <f>'Raw Data'!B208</f>
        <v>14.4</v>
      </c>
      <c r="D83" s="11">
        <f>'Raw Data'!H208</f>
        <v>-5.1733057423692941E-3</v>
      </c>
    </row>
    <row r="84" spans="1:4" x14ac:dyDescent="0.3">
      <c r="A84" s="1">
        <f>'Raw Data'!A209</f>
        <v>32871</v>
      </c>
      <c r="B84" s="4">
        <f>'Raw Data'!I209</f>
        <v>2.8463128685132774E-2</v>
      </c>
      <c r="C84">
        <f>'Raw Data'!B209</f>
        <v>14.7</v>
      </c>
      <c r="D84" s="11">
        <f>'Raw Data'!H209</f>
        <v>-3.1088082901555847E-3</v>
      </c>
    </row>
    <row r="85" spans="1:4" x14ac:dyDescent="0.3">
      <c r="A85" s="1">
        <f>'Raw Data'!A210</f>
        <v>32904</v>
      </c>
      <c r="B85" s="4">
        <f>'Raw Data'!I210</f>
        <v>3.3861816360560154E-2</v>
      </c>
      <c r="C85">
        <f>'Raw Data'!B210</f>
        <v>13.8</v>
      </c>
      <c r="D85" s="11">
        <f>'Raw Data'!H210</f>
        <v>3.4736842105263177E-2</v>
      </c>
    </row>
    <row r="86" spans="1:4" x14ac:dyDescent="0.3">
      <c r="A86" s="1">
        <f>'Raw Data'!A211</f>
        <v>32932</v>
      </c>
      <c r="B86" s="4">
        <f>'Raw Data'!I211</f>
        <v>3.5828370657111239E-2</v>
      </c>
      <c r="C86">
        <f>'Raw Data'!B211</f>
        <v>13.8</v>
      </c>
      <c r="D86" s="11">
        <f>'Raw Data'!H211</f>
        <v>1.5049299429164442E-2</v>
      </c>
    </row>
    <row r="87" spans="1:4" x14ac:dyDescent="0.3">
      <c r="A87" s="1">
        <f>'Raw Data'!A212</f>
        <v>32962</v>
      </c>
      <c r="B87" s="4">
        <f>'Raw Data'!I212</f>
        <v>3.8018322992779505E-2</v>
      </c>
      <c r="C87">
        <f>'Raw Data'!B212</f>
        <v>14.1</v>
      </c>
      <c r="D87" s="11">
        <f>'Raw Data'!H212</f>
        <v>1.2946659761781554E-2</v>
      </c>
    </row>
    <row r="88" spans="1:4" x14ac:dyDescent="0.3">
      <c r="A88" s="1">
        <f>'Raw Data'!A213</f>
        <v>32993</v>
      </c>
      <c r="B88" s="4">
        <f>'Raw Data'!I213</f>
        <v>4.2715691064033126E-2</v>
      </c>
      <c r="C88">
        <f>'Raw Data'!B213</f>
        <v>14.1</v>
      </c>
      <c r="D88" s="11">
        <f>'Raw Data'!H213</f>
        <v>3.5244608100999386E-2</v>
      </c>
    </row>
    <row r="89" spans="1:4" x14ac:dyDescent="0.3">
      <c r="A89" s="1">
        <f>'Raw Data'!A214</f>
        <v>33024</v>
      </c>
      <c r="B89" s="4">
        <f>'Raw Data'!I214</f>
        <v>3.9363839455566291E-2</v>
      </c>
      <c r="C89">
        <f>'Raw Data'!B214</f>
        <v>15.7</v>
      </c>
      <c r="D89" s="11">
        <f>'Raw Data'!H214</f>
        <v>5.0213675213675257E-2</v>
      </c>
    </row>
    <row r="90" spans="1:4" x14ac:dyDescent="0.3">
      <c r="A90" s="1">
        <f>'Raw Data'!A215</f>
        <v>33053</v>
      </c>
      <c r="B90" s="4">
        <f>'Raw Data'!I215</f>
        <v>3.7787137204439575E-2</v>
      </c>
      <c r="C90">
        <f>'Raw Data'!B215</f>
        <v>15.7</v>
      </c>
      <c r="D90" s="11">
        <f>'Raw Data'!H215</f>
        <v>5.125467164975972E-2</v>
      </c>
    </row>
    <row r="91" spans="1:4" x14ac:dyDescent="0.3">
      <c r="A91" s="1">
        <f>'Raw Data'!A216</f>
        <v>33085</v>
      </c>
      <c r="B91" s="4">
        <f>'Raw Data'!I216</f>
        <v>3.6711608982988461E-2</v>
      </c>
      <c r="C91">
        <f>'Raw Data'!B216</f>
        <v>15.5</v>
      </c>
      <c r="D91" s="11">
        <f>'Raw Data'!H216</f>
        <v>4.0254237288135597E-2</v>
      </c>
    </row>
    <row r="92" spans="1:4" x14ac:dyDescent="0.3">
      <c r="A92" s="1">
        <f>'Raw Data'!A217</f>
        <v>33116</v>
      </c>
      <c r="B92" s="4">
        <f>'Raw Data'!I217</f>
        <v>4.1670579025834764E-2</v>
      </c>
      <c r="C92">
        <f>'Raw Data'!B217</f>
        <v>14</v>
      </c>
      <c r="D92" s="11">
        <f>'Raw Data'!H217</f>
        <v>3.2648762506582552E-2</v>
      </c>
    </row>
    <row r="93" spans="1:4" x14ac:dyDescent="0.3">
      <c r="A93" s="1">
        <f>'Raw Data'!A218</f>
        <v>33144</v>
      </c>
      <c r="B93" s="4">
        <f>'Raw Data'!I218</f>
        <v>4.13441619677683E-2</v>
      </c>
      <c r="C93">
        <f>'Raw Data'!B218</f>
        <v>13.3</v>
      </c>
      <c r="D93" s="11">
        <f>'Raw Data'!H218</f>
        <v>3.4755134281200695E-2</v>
      </c>
    </row>
    <row r="94" spans="1:4" x14ac:dyDescent="0.3">
      <c r="A94" s="1">
        <f>'Raw Data'!A219</f>
        <v>33177</v>
      </c>
      <c r="B94" s="4">
        <f>'Raw Data'!I219</f>
        <v>3.9798893174750549E-2</v>
      </c>
      <c r="C94">
        <f>'Raw Data'!B219</f>
        <v>13.1</v>
      </c>
      <c r="D94" s="11">
        <f>'Raw Data'!H219</f>
        <v>-9.2783505154638846E-3</v>
      </c>
    </row>
    <row r="95" spans="1:4" x14ac:dyDescent="0.3">
      <c r="A95" s="1">
        <f>'Raw Data'!A220</f>
        <v>33207</v>
      </c>
      <c r="B95" s="4">
        <f>'Raw Data'!I220</f>
        <v>3.6959543315127782E-2</v>
      </c>
      <c r="C95">
        <f>'Raw Data'!B220</f>
        <v>14.1</v>
      </c>
      <c r="D95" s="11">
        <f>'Raw Data'!H220</f>
        <v>-3.1201248049921304E-3</v>
      </c>
    </row>
    <row r="96" spans="1:4" x14ac:dyDescent="0.3">
      <c r="A96" s="1">
        <f>'Raw Data'!A221</f>
        <v>33238</v>
      </c>
      <c r="B96" s="4">
        <f>'Raw Data'!I221</f>
        <v>3.577174425903959E-2</v>
      </c>
      <c r="C96">
        <f>'Raw Data'!B221</f>
        <v>14.5</v>
      </c>
      <c r="D96" s="11">
        <f>'Raw Data'!H221</f>
        <v>-5.197505197505059E-3</v>
      </c>
    </row>
    <row r="97" spans="1:4" x14ac:dyDescent="0.3">
      <c r="A97" s="1">
        <f>'Raw Data'!A222</f>
        <v>33269</v>
      </c>
      <c r="B97" s="4">
        <f>'Raw Data'!I222</f>
        <v>3.5766116097876721E-2</v>
      </c>
      <c r="C97">
        <f>'Raw Data'!B222</f>
        <v>14.8</v>
      </c>
      <c r="D97" s="11">
        <f>'Raw Data'!H222</f>
        <v>-0.10020345879959303</v>
      </c>
    </row>
    <row r="98" spans="1:4" x14ac:dyDescent="0.3">
      <c r="A98" s="1">
        <f>'Raw Data'!A223</f>
        <v>33297</v>
      </c>
      <c r="B98" s="4">
        <f>'Raw Data'!I223</f>
        <v>3.6882075471886905E-2</v>
      </c>
      <c r="C98">
        <f>'Raw Data'!B223</f>
        <v>16</v>
      </c>
      <c r="D98" s="11">
        <f>'Raw Data'!H223</f>
        <v>-8.8957055214723857E-2</v>
      </c>
    </row>
    <row r="99" spans="1:4" x14ac:dyDescent="0.3">
      <c r="A99" s="1">
        <f>'Raw Data'!A224</f>
        <v>33326</v>
      </c>
      <c r="B99" s="4">
        <f>'Raw Data'!I224</f>
        <v>3.778094351108692E-2</v>
      </c>
      <c r="C99">
        <f>'Raw Data'!B224</f>
        <v>16.5</v>
      </c>
      <c r="D99" s="11">
        <f>'Raw Data'!H224</f>
        <v>-8.6400817995909929E-2</v>
      </c>
    </row>
    <row r="100" spans="1:4" x14ac:dyDescent="0.3">
      <c r="A100" s="1">
        <f>'Raw Data'!A225</f>
        <v>33358</v>
      </c>
      <c r="B100" s="4">
        <f>'Raw Data'!I225</f>
        <v>3.7675917188665448E-2</v>
      </c>
      <c r="C100">
        <f>'Raw Data'!B225</f>
        <v>16.3</v>
      </c>
      <c r="D100" s="11">
        <f>'Raw Data'!H225</f>
        <v>-7.4695121951219412E-2</v>
      </c>
    </row>
    <row r="101" spans="1:4" x14ac:dyDescent="0.3">
      <c r="A101" s="1">
        <f>'Raw Data'!A226</f>
        <v>33389</v>
      </c>
      <c r="B101" s="4">
        <f>'Raw Data'!I226</f>
        <v>3.8420424916903492E-2</v>
      </c>
      <c r="C101">
        <f>'Raw Data'!B226</f>
        <v>16.899999999999999</v>
      </c>
      <c r="D101" s="11">
        <f>'Raw Data'!H226</f>
        <v>-7.2736520854526976E-2</v>
      </c>
    </row>
    <row r="102" spans="1:4" x14ac:dyDescent="0.3">
      <c r="A102" s="1">
        <f>'Raw Data'!A227</f>
        <v>33417</v>
      </c>
      <c r="B102" s="4">
        <f>'Raw Data'!I227</f>
        <v>4.0748632116731673E-2</v>
      </c>
      <c r="C102">
        <f>'Raw Data'!B227</f>
        <v>16.100000000000001</v>
      </c>
      <c r="D102" s="11">
        <f>'Raw Data'!H227</f>
        <v>-7.4657186389030072E-2</v>
      </c>
    </row>
    <row r="103" spans="1:4" x14ac:dyDescent="0.3">
      <c r="A103" s="1">
        <f>'Raw Data'!A228</f>
        <v>33450</v>
      </c>
      <c r="B103" s="4">
        <f>'Raw Data'!I228</f>
        <v>4.0989696010136883E-2</v>
      </c>
      <c r="C103">
        <f>'Raw Data'!B228</f>
        <v>16.899999999999999</v>
      </c>
      <c r="D103" s="11">
        <f>'Raw Data'!H228</f>
        <v>-4.7861507128309611E-2</v>
      </c>
    </row>
    <row r="104" spans="1:4" x14ac:dyDescent="0.3">
      <c r="A104" s="1">
        <f>'Raw Data'!A229</f>
        <v>33480</v>
      </c>
      <c r="B104" s="4">
        <f>'Raw Data'!I229</f>
        <v>3.8057468639574543E-2</v>
      </c>
      <c r="C104">
        <f>'Raw Data'!B229</f>
        <v>17.5</v>
      </c>
      <c r="D104" s="11">
        <f>'Raw Data'!H229</f>
        <v>-4.181540030596631E-2</v>
      </c>
    </row>
    <row r="105" spans="1:4" x14ac:dyDescent="0.3">
      <c r="A105" s="1">
        <f>'Raw Data'!A230</f>
        <v>33511</v>
      </c>
      <c r="B105" s="4">
        <f>'Raw Data'!I230</f>
        <v>3.5133459558392172E-2</v>
      </c>
      <c r="C105">
        <f>'Raw Data'!B230</f>
        <v>17.2</v>
      </c>
      <c r="D105" s="11">
        <f>'Raw Data'!H230</f>
        <v>-4.5292620865139854E-2</v>
      </c>
    </row>
    <row r="106" spans="1:4" x14ac:dyDescent="0.3">
      <c r="A106" s="1">
        <f>'Raw Data'!A231</f>
        <v>33542</v>
      </c>
      <c r="B106" s="4">
        <f>'Raw Data'!I231</f>
        <v>3.5016206256876445E-2</v>
      </c>
      <c r="C106">
        <f>'Raw Data'!B231</f>
        <v>17.7</v>
      </c>
      <c r="D106" s="11">
        <f>'Raw Data'!H231</f>
        <v>2.6014568158168494E-2</v>
      </c>
    </row>
    <row r="107" spans="1:4" x14ac:dyDescent="0.3">
      <c r="A107" s="1">
        <f>'Raw Data'!A232</f>
        <v>33571</v>
      </c>
      <c r="B107" s="4">
        <f>'Raw Data'!I232</f>
        <v>3.4526839609990784E-2</v>
      </c>
      <c r="C107">
        <f>'Raw Data'!B232</f>
        <v>17.2</v>
      </c>
      <c r="D107" s="11">
        <f>'Raw Data'!H232</f>
        <v>2.712571726656221E-2</v>
      </c>
    </row>
    <row r="108" spans="1:4" x14ac:dyDescent="0.3">
      <c r="A108" s="1">
        <f>'Raw Data'!A233</f>
        <v>33603</v>
      </c>
      <c r="B108" s="4">
        <f>'Raw Data'!I233</f>
        <v>2.7807458309461075E-2</v>
      </c>
      <c r="C108">
        <f>'Raw Data'!B233</f>
        <v>19.3</v>
      </c>
      <c r="D108" s="11">
        <f>'Raw Data'!H233</f>
        <v>3.0303030303030276E-2</v>
      </c>
    </row>
    <row r="109" spans="1:4" x14ac:dyDescent="0.3">
      <c r="A109" s="1">
        <f>'Raw Data'!A234</f>
        <v>33634</v>
      </c>
      <c r="B109" s="4">
        <f>'Raw Data'!I234</f>
        <v>3.3833034525174333E-2</v>
      </c>
      <c r="C109">
        <f>'Raw Data'!B234</f>
        <v>20.5</v>
      </c>
      <c r="D109" s="11">
        <f>'Raw Data'!H234</f>
        <v>0.15036743923120399</v>
      </c>
    </row>
    <row r="110" spans="1:4" x14ac:dyDescent="0.3">
      <c r="A110" s="1">
        <f>'Raw Data'!A235</f>
        <v>33662</v>
      </c>
      <c r="B110" s="4">
        <f>'Raw Data'!I235</f>
        <v>3.3697553522993168E-2</v>
      </c>
      <c r="C110">
        <f>'Raw Data'!B235</f>
        <v>20.5</v>
      </c>
      <c r="D110" s="11">
        <f>'Raw Data'!H235</f>
        <v>0.12401795735129073</v>
      </c>
    </row>
    <row r="111" spans="1:4" x14ac:dyDescent="0.3">
      <c r="A111" s="1">
        <f>'Raw Data'!A236</f>
        <v>33694</v>
      </c>
      <c r="B111" s="4">
        <f>'Raw Data'!I236</f>
        <v>3.6113404933758378E-2</v>
      </c>
      <c r="C111">
        <f>'Raw Data'!B236</f>
        <v>20.100000000000001</v>
      </c>
      <c r="D111" s="11">
        <f>'Raw Data'!H236</f>
        <v>0.13262451035254608</v>
      </c>
    </row>
    <row r="112" spans="1:4" x14ac:dyDescent="0.3">
      <c r="A112" s="1">
        <f>'Raw Data'!A237</f>
        <v>33724</v>
      </c>
      <c r="B112" s="4">
        <f>'Raw Data'!I237</f>
        <v>3.6738201795777969E-2</v>
      </c>
      <c r="C112">
        <f>'Raw Data'!B237</f>
        <v>20.100000000000001</v>
      </c>
      <c r="D112" s="11">
        <f>'Raw Data'!H237</f>
        <v>0.12630422844590883</v>
      </c>
    </row>
    <row r="113" spans="1:4" x14ac:dyDescent="0.3">
      <c r="A113" s="1">
        <f>'Raw Data'!A238</f>
        <v>33753</v>
      </c>
      <c r="B113" s="4">
        <f>'Raw Data'!I238</f>
        <v>3.4884314978092801E-2</v>
      </c>
      <c r="C113">
        <f>'Raw Data'!B238</f>
        <v>20.2</v>
      </c>
      <c r="D113" s="11">
        <f>'Raw Data'!H238</f>
        <v>0.12781130005485464</v>
      </c>
    </row>
    <row r="114" spans="1:4" x14ac:dyDescent="0.3">
      <c r="A114" s="1">
        <f>'Raw Data'!A239</f>
        <v>33785</v>
      </c>
      <c r="B114" s="4">
        <f>'Raw Data'!I239</f>
        <v>3.3781277832981668E-2</v>
      </c>
      <c r="C114">
        <f>'Raw Data'!B239</f>
        <v>19.7</v>
      </c>
      <c r="D114" s="11">
        <f>'Raw Data'!H239</f>
        <v>0.12568605927552157</v>
      </c>
    </row>
    <row r="115" spans="1:4" x14ac:dyDescent="0.3">
      <c r="A115" s="1">
        <f>'Raw Data'!A240</f>
        <v>33816</v>
      </c>
      <c r="B115" s="4">
        <f>'Raw Data'!I240</f>
        <v>2.9748864151712823E-2</v>
      </c>
      <c r="C115">
        <f>'Raw Data'!B240</f>
        <v>20.100000000000001</v>
      </c>
      <c r="D115" s="11">
        <f>'Raw Data'!H240</f>
        <v>8.3422459893048195E-2</v>
      </c>
    </row>
    <row r="116" spans="1:4" x14ac:dyDescent="0.3">
      <c r="A116" s="1">
        <f>'Raw Data'!A241</f>
        <v>33847</v>
      </c>
      <c r="B116" s="4">
        <f>'Raw Data'!I241</f>
        <v>2.8820174992579287E-2</v>
      </c>
      <c r="C116">
        <f>'Raw Data'!B241</f>
        <v>19.7</v>
      </c>
      <c r="D116" s="11">
        <f>'Raw Data'!H241</f>
        <v>8.1426290580095761E-2</v>
      </c>
    </row>
    <row r="117" spans="1:4" x14ac:dyDescent="0.3">
      <c r="A117" s="1">
        <f>'Raw Data'!A242</f>
        <v>33877</v>
      </c>
      <c r="B117" s="4">
        <f>'Raw Data'!I242</f>
        <v>2.6099388059731624E-2</v>
      </c>
      <c r="C117">
        <f>'Raw Data'!B242</f>
        <v>19.899999999999999</v>
      </c>
      <c r="D117" s="11">
        <f>'Raw Data'!H242</f>
        <v>8.3155650319829411E-2</v>
      </c>
    </row>
    <row r="118" spans="1:4" x14ac:dyDescent="0.3">
      <c r="A118" s="1">
        <f>'Raw Data'!A243</f>
        <v>33907</v>
      </c>
      <c r="B118" s="4">
        <f>'Raw Data'!I243</f>
        <v>3.0433050283622073E-2</v>
      </c>
      <c r="C118">
        <f>'Raw Data'!B243</f>
        <v>19.100000000000001</v>
      </c>
      <c r="D118" s="11">
        <f>'Raw Data'!H243</f>
        <v>3.8539553752535483E-2</v>
      </c>
    </row>
    <row r="119" spans="1:4" x14ac:dyDescent="0.3">
      <c r="A119" s="1">
        <f>'Raw Data'!A244</f>
        <v>33938</v>
      </c>
      <c r="B119" s="4">
        <f>'Raw Data'!I244</f>
        <v>3.1424717317128467E-2</v>
      </c>
      <c r="C119">
        <f>'Raw Data'!B244</f>
        <v>19.7</v>
      </c>
      <c r="D119" s="11">
        <f>'Raw Data'!H244</f>
        <v>4.1645505332656096E-2</v>
      </c>
    </row>
    <row r="120" spans="1:4" x14ac:dyDescent="0.3">
      <c r="A120" s="1">
        <f>'Raw Data'!A245</f>
        <v>33969</v>
      </c>
      <c r="B120" s="4">
        <f>'Raw Data'!I245</f>
        <v>2.8580444185579298E-2</v>
      </c>
      <c r="C120">
        <f>'Raw Data'!B245</f>
        <v>19.899999999999999</v>
      </c>
      <c r="D120" s="11">
        <f>'Raw Data'!H245</f>
        <v>3.6511156186612714E-2</v>
      </c>
    </row>
    <row r="121" spans="1:4" x14ac:dyDescent="0.3">
      <c r="A121" s="1">
        <f>'Raw Data'!A246</f>
        <v>33998</v>
      </c>
      <c r="B121" s="4">
        <f>'Raw Data'!I246</f>
        <v>2.5138573204479819E-2</v>
      </c>
      <c r="C121">
        <f>'Raw Data'!B246</f>
        <v>19.2</v>
      </c>
      <c r="D121" s="11">
        <f>'Raw Data'!H246</f>
        <v>9.3366093366091807E-3</v>
      </c>
    </row>
    <row r="122" spans="1:4" x14ac:dyDescent="0.3">
      <c r="A122" s="1">
        <f>'Raw Data'!A247</f>
        <v>34026</v>
      </c>
      <c r="B122" s="4">
        <f>'Raw Data'!I247</f>
        <v>2.1556650326693211E-2</v>
      </c>
      <c r="C122">
        <f>'Raw Data'!B247</f>
        <v>19.600000000000001</v>
      </c>
      <c r="D122" s="11">
        <f>'Raw Data'!H247</f>
        <v>5.04243634548176E-2</v>
      </c>
    </row>
    <row r="123" spans="1:4" x14ac:dyDescent="0.3">
      <c r="A123" s="1">
        <f>'Raw Data'!A248</f>
        <v>34059</v>
      </c>
      <c r="B123" s="4">
        <f>'Raw Data'!I248</f>
        <v>2.1617519884746736E-2</v>
      </c>
      <c r="C123">
        <f>'Raw Data'!B248</f>
        <v>19.7</v>
      </c>
      <c r="D123" s="11">
        <f>'Raw Data'!H248</f>
        <v>3.9031620553359847E-2</v>
      </c>
    </row>
    <row r="124" spans="1:4" x14ac:dyDescent="0.3">
      <c r="A124" s="1">
        <f>'Raw Data'!A249</f>
        <v>34089</v>
      </c>
      <c r="B124" s="4">
        <f>'Raw Data'!I249</f>
        <v>2.1844173211960999E-2</v>
      </c>
      <c r="C124">
        <f>'Raw Data'!B249</f>
        <v>18.7</v>
      </c>
      <c r="D124" s="11">
        <f>'Raw Data'!H249</f>
        <v>5.9483178937103753E-2</v>
      </c>
    </row>
    <row r="125" spans="1:4" x14ac:dyDescent="0.3">
      <c r="A125" s="1">
        <f>'Raw Data'!A250</f>
        <v>34120</v>
      </c>
      <c r="B125" s="4">
        <f>'Raw Data'!I250</f>
        <v>2.3355256966308115E-2</v>
      </c>
      <c r="C125">
        <f>'Raw Data'!B250</f>
        <v>19.100000000000001</v>
      </c>
      <c r="D125" s="11">
        <f>'Raw Data'!H250</f>
        <v>6.0797665369649811E-2</v>
      </c>
    </row>
    <row r="126" spans="1:4" x14ac:dyDescent="0.3">
      <c r="A126" s="1">
        <f>'Raw Data'!A251</f>
        <v>34150</v>
      </c>
      <c r="B126" s="4">
        <f>'Raw Data'!I251</f>
        <v>1.9802368173169216E-2</v>
      </c>
      <c r="C126">
        <f>'Raw Data'!B251</f>
        <v>19.2</v>
      </c>
      <c r="D126" s="11">
        <f>'Raw Data'!H251</f>
        <v>6.4846416382252414E-2</v>
      </c>
    </row>
    <row r="127" spans="1:4" x14ac:dyDescent="0.3">
      <c r="A127" s="1">
        <f>'Raw Data'!A252</f>
        <v>34180</v>
      </c>
      <c r="B127" s="4">
        <f>'Raw Data'!I252</f>
        <v>2.0395427059363549E-2</v>
      </c>
      <c r="C127">
        <f>'Raw Data'!B252</f>
        <v>19.2</v>
      </c>
      <c r="D127" s="11">
        <f>'Raw Data'!H252</f>
        <v>0.11944718657453102</v>
      </c>
    </row>
    <row r="128" spans="1:4" x14ac:dyDescent="0.3">
      <c r="A128" s="1">
        <f>'Raw Data'!A253</f>
        <v>34212</v>
      </c>
      <c r="B128" s="4">
        <f>'Raw Data'!I253</f>
        <v>1.6851672870744225E-2</v>
      </c>
      <c r="C128">
        <f>'Raw Data'!B253</f>
        <v>19.8</v>
      </c>
      <c r="D128" s="11">
        <f>'Raw Data'!H253</f>
        <v>0.15600393700787385</v>
      </c>
    </row>
    <row r="129" spans="1:4" x14ac:dyDescent="0.3">
      <c r="A129" s="1">
        <f>'Raw Data'!A254</f>
        <v>34242</v>
      </c>
      <c r="B129" s="4">
        <f>'Raw Data'!I254</f>
        <v>1.6298948666926591E-2</v>
      </c>
      <c r="C129">
        <f>'Raw Data'!B254</f>
        <v>19.600000000000001</v>
      </c>
      <c r="D129" s="11">
        <f>'Raw Data'!H254</f>
        <v>0.15452755905511806</v>
      </c>
    </row>
    <row r="130" spans="1:4" x14ac:dyDescent="0.3">
      <c r="A130" s="1">
        <f>'Raw Data'!A255</f>
        <v>34271</v>
      </c>
      <c r="B130" s="4">
        <f>'Raw Data'!I255</f>
        <v>1.674305028362208E-2</v>
      </c>
      <c r="C130">
        <f>'Raw Data'!B255</f>
        <v>20</v>
      </c>
      <c r="D130" s="11">
        <f>'Raw Data'!H255</f>
        <v>0.21044921875</v>
      </c>
    </row>
    <row r="131" spans="1:4" x14ac:dyDescent="0.3">
      <c r="A131" s="1">
        <f>'Raw Data'!A256</f>
        <v>34303</v>
      </c>
      <c r="B131" s="4">
        <f>'Raw Data'!I256</f>
        <v>2.0736733541527552E-2</v>
      </c>
      <c r="C131">
        <f>'Raw Data'!B256</f>
        <v>19.7</v>
      </c>
      <c r="D131" s="11">
        <f>'Raw Data'!H256</f>
        <v>0.21843003412969275</v>
      </c>
    </row>
    <row r="132" spans="1:4" x14ac:dyDescent="0.3">
      <c r="A132" s="1">
        <f>'Raw Data'!A257</f>
        <v>34334</v>
      </c>
      <c r="B132" s="4">
        <f>'Raw Data'!I257</f>
        <v>2.0581164595760121E-2</v>
      </c>
      <c r="C132">
        <f>'Raw Data'!B257</f>
        <v>20</v>
      </c>
      <c r="D132" s="11">
        <f>'Raw Data'!H257</f>
        <v>0.22260273972602729</v>
      </c>
    </row>
    <row r="133" spans="1:4" x14ac:dyDescent="0.3">
      <c r="A133" s="1">
        <f>'Raw Data'!A258</f>
        <v>34365</v>
      </c>
      <c r="B133" s="4">
        <f>'Raw Data'!I258</f>
        <v>1.9824570322668371E-2</v>
      </c>
      <c r="C133">
        <f>'Raw Data'!B258</f>
        <v>20.5</v>
      </c>
      <c r="D133" s="11">
        <f>'Raw Data'!H258</f>
        <v>0.2843232716650439</v>
      </c>
    </row>
    <row r="134" spans="1:4" x14ac:dyDescent="0.3">
      <c r="A134" s="1">
        <f>'Raw Data'!A259</f>
        <v>34393</v>
      </c>
      <c r="B134" s="4">
        <f>'Raw Data'!I259</f>
        <v>2.4927921461017973E-2</v>
      </c>
      <c r="C134">
        <f>'Raw Data'!B259</f>
        <v>19.5</v>
      </c>
      <c r="D134" s="11">
        <f>'Raw Data'!H259</f>
        <v>0.2671102661596958</v>
      </c>
    </row>
    <row r="135" spans="1:4" x14ac:dyDescent="0.3">
      <c r="A135" s="1">
        <f>'Raw Data'!A260</f>
        <v>34424</v>
      </c>
      <c r="B135" s="4">
        <f>'Raw Data'!I260</f>
        <v>3.0968314299999009E-2</v>
      </c>
      <c r="C135">
        <f>'Raw Data'!B260</f>
        <v>18.600000000000001</v>
      </c>
      <c r="D135" s="11">
        <f>'Raw Data'!H260</f>
        <v>0.26866381359961955</v>
      </c>
    </row>
    <row r="136" spans="1:4" x14ac:dyDescent="0.3">
      <c r="A136" s="1">
        <f>'Raw Data'!A261</f>
        <v>34453</v>
      </c>
      <c r="B136" s="4">
        <f>'Raw Data'!I261</f>
        <v>3.4349919399488713E-2</v>
      </c>
      <c r="C136">
        <f>'Raw Data'!B261</f>
        <v>18.3</v>
      </c>
      <c r="D136" s="11">
        <f>'Raw Data'!H261</f>
        <v>0.28992176714219986</v>
      </c>
    </row>
    <row r="137" spans="1:4" x14ac:dyDescent="0.3">
      <c r="A137" s="1">
        <f>'Raw Data'!A262</f>
        <v>34485</v>
      </c>
      <c r="B137" s="4">
        <f>'Raw Data'!I262</f>
        <v>3.5459379307404698E-2</v>
      </c>
      <c r="C137">
        <f>'Raw Data'!B262</f>
        <v>18.3</v>
      </c>
      <c r="D137" s="11">
        <f>'Raw Data'!H262</f>
        <v>0.2998624484181569</v>
      </c>
    </row>
    <row r="138" spans="1:4" x14ac:dyDescent="0.3">
      <c r="A138" s="1">
        <f>'Raw Data'!A263</f>
        <v>34515</v>
      </c>
      <c r="B138" s="4">
        <f>'Raw Data'!I263</f>
        <v>3.7108802630090046E-2</v>
      </c>
      <c r="C138">
        <f>'Raw Data'!B263</f>
        <v>17.7</v>
      </c>
      <c r="D138" s="11">
        <f>'Raw Data'!H263</f>
        <v>0.29899267399267404</v>
      </c>
    </row>
    <row r="139" spans="1:4" x14ac:dyDescent="0.3">
      <c r="A139" s="1">
        <f>'Raw Data'!A264</f>
        <v>34544</v>
      </c>
      <c r="B139" s="4">
        <f>'Raw Data'!I264</f>
        <v>3.4928007741780759E-2</v>
      </c>
      <c r="C139">
        <f>'Raw Data'!B264</f>
        <v>17.600000000000001</v>
      </c>
      <c r="D139" s="11">
        <f>'Raw Data'!H264</f>
        <v>0.30114638447971798</v>
      </c>
    </row>
    <row r="140" spans="1:4" x14ac:dyDescent="0.3">
      <c r="A140" s="1">
        <f>'Raw Data'!A265</f>
        <v>34577</v>
      </c>
      <c r="B140" s="4">
        <f>'Raw Data'!I265</f>
        <v>3.5548096427515621E-2</v>
      </c>
      <c r="C140">
        <f>'Raw Data'!B265</f>
        <v>17.8</v>
      </c>
      <c r="D140" s="11">
        <f>'Raw Data'!H265</f>
        <v>0.26990208599403998</v>
      </c>
    </row>
    <row r="141" spans="1:4" x14ac:dyDescent="0.3">
      <c r="A141" s="1">
        <f>'Raw Data'!A266</f>
        <v>34607</v>
      </c>
      <c r="B141" s="4">
        <f>'Raw Data'!I266</f>
        <v>3.9857004135989194E-2</v>
      </c>
      <c r="C141">
        <f>'Raw Data'!B266</f>
        <v>17.399999999999999</v>
      </c>
      <c r="D141" s="11">
        <f>'Raw Data'!H266</f>
        <v>0.27280477408354642</v>
      </c>
    </row>
    <row r="142" spans="1:4" x14ac:dyDescent="0.3">
      <c r="A142" s="1">
        <f>'Raw Data'!A267</f>
        <v>34638</v>
      </c>
      <c r="B142" s="4">
        <f>'Raw Data'!I267</f>
        <v>4.2182667726470779E-2</v>
      </c>
      <c r="C142">
        <f>'Raw Data'!B267</f>
        <v>16.8</v>
      </c>
      <c r="D142" s="11">
        <f>'Raw Data'!H267</f>
        <v>0.22872125857200487</v>
      </c>
    </row>
    <row r="143" spans="1:4" x14ac:dyDescent="0.3">
      <c r="A143" s="1">
        <f>'Raw Data'!A268</f>
        <v>34668</v>
      </c>
      <c r="B143" s="4">
        <f>'Raw Data'!I268</f>
        <v>4.314263301541113E-2</v>
      </c>
      <c r="C143">
        <f>'Raw Data'!B268</f>
        <v>16.2</v>
      </c>
      <c r="D143" s="11">
        <f>'Raw Data'!H268</f>
        <v>0.21488595438175273</v>
      </c>
    </row>
    <row r="144" spans="1:4" x14ac:dyDescent="0.3">
      <c r="A144" s="1">
        <f>'Raw Data'!A269</f>
        <v>34698</v>
      </c>
      <c r="B144" s="4">
        <f>'Raw Data'!I269</f>
        <v>4.2331949565461754E-2</v>
      </c>
      <c r="C144">
        <f>'Raw Data'!B269</f>
        <v>16.399999999999999</v>
      </c>
      <c r="D144" s="11">
        <f>'Raw Data'!H269</f>
        <v>0.21568627450980404</v>
      </c>
    </row>
    <row r="145" spans="1:4" x14ac:dyDescent="0.3">
      <c r="A145" s="1">
        <f>'Raw Data'!A270</f>
        <v>34730</v>
      </c>
      <c r="B145" s="4">
        <f>'Raw Data'!I270</f>
        <v>3.9822451887158578E-2</v>
      </c>
      <c r="C145">
        <f>'Raw Data'!B270</f>
        <v>15.9</v>
      </c>
      <c r="D145" s="11">
        <f>'Raw Data'!H270</f>
        <v>0.13949962092494306</v>
      </c>
    </row>
    <row r="146" spans="1:4" x14ac:dyDescent="0.3">
      <c r="A146" s="1">
        <f>'Raw Data'!A271</f>
        <v>34758</v>
      </c>
      <c r="B146" s="4">
        <f>'Raw Data'!I271</f>
        <v>3.640382841567423E-2</v>
      </c>
      <c r="C146">
        <f>'Raw Data'!B271</f>
        <v>16.3</v>
      </c>
      <c r="D146" s="11">
        <f>'Raw Data'!H271</f>
        <v>0.14441110277569402</v>
      </c>
    </row>
    <row r="147" spans="1:4" x14ac:dyDescent="0.3">
      <c r="A147" s="1">
        <f>'Raw Data'!A272</f>
        <v>34789</v>
      </c>
      <c r="B147" s="4">
        <f>'Raw Data'!I272</f>
        <v>3.6584095303795E-2</v>
      </c>
      <c r="C147">
        <f>'Raw Data'!B272</f>
        <v>16.7</v>
      </c>
      <c r="D147" s="11">
        <f>'Raw Data'!H272</f>
        <v>0.14542728635682156</v>
      </c>
    </row>
    <row r="148" spans="1:4" x14ac:dyDescent="0.3">
      <c r="A148" s="1">
        <f>'Raw Data'!A273</f>
        <v>34817</v>
      </c>
      <c r="B148" s="4">
        <f>'Raw Data'!I273</f>
        <v>3.4937731600513736E-2</v>
      </c>
      <c r="C148">
        <f>'Raw Data'!B273</f>
        <v>16.3</v>
      </c>
      <c r="D148" s="11">
        <f>'Raw Data'!H273</f>
        <v>0.10881198715661777</v>
      </c>
    </row>
    <row r="149" spans="1:4" x14ac:dyDescent="0.3">
      <c r="A149" s="1">
        <f>'Raw Data'!A274</f>
        <v>34850</v>
      </c>
      <c r="B149" s="4">
        <f>'Raw Data'!I274</f>
        <v>2.7216658975434696E-2</v>
      </c>
      <c r="C149">
        <f>'Raw Data'!B274</f>
        <v>16.7</v>
      </c>
      <c r="D149" s="11">
        <f>'Raw Data'!H274</f>
        <v>9.8765432098765427E-2</v>
      </c>
    </row>
    <row r="150" spans="1:4" x14ac:dyDescent="0.3">
      <c r="A150" s="1">
        <f>'Raw Data'!A275</f>
        <v>34880</v>
      </c>
      <c r="B150" s="4">
        <f>'Raw Data'!I275</f>
        <v>2.6532005219783557E-2</v>
      </c>
      <c r="C150">
        <f>'Raw Data'!B275</f>
        <v>17.100000000000001</v>
      </c>
      <c r="D150" s="11">
        <f>'Raw Data'!H275</f>
        <v>9.869580542826939E-2</v>
      </c>
    </row>
    <row r="151" spans="1:4" x14ac:dyDescent="0.3">
      <c r="A151" s="1">
        <f>'Raw Data'!A276</f>
        <v>34911</v>
      </c>
      <c r="B151" s="4">
        <f>'Raw Data'!I276</f>
        <v>2.8718673530155767E-2</v>
      </c>
      <c r="C151">
        <f>'Raw Data'!B276</f>
        <v>16.899999999999999</v>
      </c>
      <c r="D151" s="11">
        <f>'Raw Data'!H276</f>
        <v>7.4889867841409608E-2</v>
      </c>
    </row>
    <row r="152" spans="1:4" x14ac:dyDescent="0.3">
      <c r="A152" s="1">
        <f>'Raw Data'!A277</f>
        <v>34942</v>
      </c>
      <c r="B152" s="4">
        <f>'Raw Data'!I277</f>
        <v>2.7387417384849039E-2</v>
      </c>
      <c r="C152">
        <f>'Raw Data'!B277</f>
        <v>16.8</v>
      </c>
      <c r="D152" s="11">
        <f>'Raw Data'!H277</f>
        <v>6.7717063359034713E-2</v>
      </c>
    </row>
    <row r="153" spans="1:4" x14ac:dyDescent="0.3">
      <c r="A153" s="1">
        <f>'Raw Data'!A278</f>
        <v>34971</v>
      </c>
      <c r="B153" s="4">
        <f>'Raw Data'!I278</f>
        <v>2.623381417331274E-2</v>
      </c>
      <c r="C153">
        <f>'Raw Data'!B278</f>
        <v>17.600000000000001</v>
      </c>
      <c r="D153" s="11">
        <f>'Raw Data'!H278</f>
        <v>6.5974547890154112E-2</v>
      </c>
    </row>
    <row r="154" spans="1:4" x14ac:dyDescent="0.3">
      <c r="A154" s="1">
        <f>'Raw Data'!A279</f>
        <v>35003</v>
      </c>
      <c r="B154" s="4">
        <f>'Raw Data'!I279</f>
        <v>2.4916066251382825E-2</v>
      </c>
      <c r="C154">
        <f>'Raw Data'!B279</f>
        <v>17.2</v>
      </c>
      <c r="D154" s="11">
        <f>'Raw Data'!H279</f>
        <v>6.5003282994090528E-2</v>
      </c>
    </row>
    <row r="155" spans="1:4" x14ac:dyDescent="0.3">
      <c r="A155" s="1">
        <f>'Raw Data'!A280</f>
        <v>35033</v>
      </c>
      <c r="B155" s="4">
        <f>'Raw Data'!I280</f>
        <v>2.2447207462988485E-2</v>
      </c>
      <c r="C155">
        <f>'Raw Data'!B280</f>
        <v>18</v>
      </c>
      <c r="D155" s="11">
        <f>'Raw Data'!H280</f>
        <v>7.1146245059288571E-2</v>
      </c>
    </row>
    <row r="156" spans="1:4" x14ac:dyDescent="0.3">
      <c r="A156" s="1">
        <f>'Raw Data'!A281</f>
        <v>35062</v>
      </c>
      <c r="B156" s="4">
        <f>'Raw Data'!I281</f>
        <v>2.1116234373720219E-2</v>
      </c>
      <c r="C156">
        <f>'Raw Data'!B281</f>
        <v>18.2</v>
      </c>
      <c r="D156" s="11">
        <f>'Raw Data'!H281</f>
        <v>6.9782751810401722E-2</v>
      </c>
    </row>
    <row r="157" spans="1:4" x14ac:dyDescent="0.3">
      <c r="A157" s="1">
        <f>'Raw Data'!A282</f>
        <v>35095</v>
      </c>
      <c r="B157" s="4">
        <f>'Raw Data'!I282</f>
        <v>2.097705513584832E-2</v>
      </c>
      <c r="C157">
        <f>'Raw Data'!B282</f>
        <v>19</v>
      </c>
      <c r="D157" s="11">
        <f>'Raw Data'!H282</f>
        <v>0.13506320691949436</v>
      </c>
    </row>
    <row r="158" spans="1:4" x14ac:dyDescent="0.3">
      <c r="A158" s="1">
        <f>'Raw Data'!A283</f>
        <v>35124</v>
      </c>
      <c r="B158" s="4">
        <f>'Raw Data'!I283</f>
        <v>2.5858022278396703E-2</v>
      </c>
      <c r="C158">
        <f>'Raw Data'!B283</f>
        <v>18.899999999999999</v>
      </c>
      <c r="D158" s="11">
        <f>'Raw Data'!H283</f>
        <v>0.12553261225827606</v>
      </c>
    </row>
    <row r="159" spans="1:4" x14ac:dyDescent="0.3">
      <c r="A159" s="1">
        <f>'Raw Data'!A284</f>
        <v>35153</v>
      </c>
      <c r="B159" s="4">
        <f>'Raw Data'!I284</f>
        <v>2.7156503510907259E-2</v>
      </c>
      <c r="C159">
        <f>'Raw Data'!B284</f>
        <v>19</v>
      </c>
      <c r="D159" s="11">
        <f>'Raw Data'!H284</f>
        <v>0.12532722513089012</v>
      </c>
    </row>
    <row r="160" spans="1:4" x14ac:dyDescent="0.3">
      <c r="A160" s="1">
        <f>'Raw Data'!A285</f>
        <v>35185</v>
      </c>
      <c r="B160" s="4">
        <f>'Raw Data'!I285</f>
        <v>2.9596648296384184E-2</v>
      </c>
      <c r="C160">
        <f>'Raw Data'!B285</f>
        <v>18.899999999999999</v>
      </c>
      <c r="D160" s="11">
        <f>'Raw Data'!H285</f>
        <v>0.14768339768339778</v>
      </c>
    </row>
    <row r="161" spans="1:4" x14ac:dyDescent="0.3">
      <c r="A161" s="1">
        <f>'Raw Data'!A286</f>
        <v>35216</v>
      </c>
      <c r="B161" s="4">
        <f>'Raw Data'!I286</f>
        <v>3.1713334686392827E-2</v>
      </c>
      <c r="C161">
        <f>'Raw Data'!B286</f>
        <v>19.399999999999999</v>
      </c>
      <c r="D161" s="11">
        <f>'Raw Data'!H286</f>
        <v>0.15601926163723912</v>
      </c>
    </row>
    <row r="162" spans="1:4" x14ac:dyDescent="0.3">
      <c r="A162" s="1">
        <f>'Raw Data'!A287</f>
        <v>35244</v>
      </c>
      <c r="B162" s="4">
        <f>'Raw Data'!I287</f>
        <v>3.0554409506507146E-2</v>
      </c>
      <c r="C162">
        <f>'Raw Data'!B287</f>
        <v>19.5</v>
      </c>
      <c r="D162" s="11">
        <f>'Raw Data'!H287</f>
        <v>0.15367340391401996</v>
      </c>
    </row>
    <row r="163" spans="1:4" x14ac:dyDescent="0.3">
      <c r="A163" s="1">
        <f>'Raw Data'!A288</f>
        <v>35277</v>
      </c>
      <c r="B163" s="4">
        <f>'Raw Data'!I288</f>
        <v>3.1290849773554077E-2</v>
      </c>
      <c r="C163">
        <f>'Raw Data'!B288</f>
        <v>18.399999999999999</v>
      </c>
      <c r="D163" s="11">
        <f>'Raw Data'!H288</f>
        <v>0.14943253467843642</v>
      </c>
    </row>
    <row r="164" spans="1:4" x14ac:dyDescent="0.3">
      <c r="A164" s="1">
        <f>'Raw Data'!A289</f>
        <v>35307</v>
      </c>
      <c r="B164" s="4">
        <f>'Raw Data'!I289</f>
        <v>3.2673502437499877E-2</v>
      </c>
      <c r="C164">
        <f>'Raw Data'!B289</f>
        <v>18.600000000000001</v>
      </c>
      <c r="D164" s="11">
        <f>'Raw Data'!H289</f>
        <v>0.14285714285714279</v>
      </c>
    </row>
    <row r="165" spans="1:4" x14ac:dyDescent="0.3">
      <c r="A165" s="1">
        <f>'Raw Data'!A290</f>
        <v>35338</v>
      </c>
      <c r="B165" s="4">
        <f>'Raw Data'!I290</f>
        <v>3.0331955548801956E-2</v>
      </c>
      <c r="C165">
        <f>'Raw Data'!B290</f>
        <v>19.7</v>
      </c>
      <c r="D165" s="11">
        <f>'Raw Data'!H290</f>
        <v>0.14514608859566458</v>
      </c>
    </row>
    <row r="166" spans="1:4" x14ac:dyDescent="0.3">
      <c r="A166" s="1">
        <f>'Raw Data'!A291</f>
        <v>35369</v>
      </c>
      <c r="B166" s="4">
        <f>'Raw Data'!I291</f>
        <v>2.6592095091559506E-2</v>
      </c>
      <c r="C166">
        <f>'Raw Data'!B291</f>
        <v>19.7</v>
      </c>
      <c r="D166" s="11">
        <f>'Raw Data'!H291</f>
        <v>0.14549938347718872</v>
      </c>
    </row>
    <row r="167" spans="1:4" x14ac:dyDescent="0.3">
      <c r="A167" s="1">
        <f>'Raw Data'!A292</f>
        <v>35398</v>
      </c>
      <c r="B167" s="4">
        <f>'Raw Data'!I292</f>
        <v>2.3482910046143946E-2</v>
      </c>
      <c r="C167">
        <f>'Raw Data'!B292</f>
        <v>21.1</v>
      </c>
      <c r="D167" s="11">
        <f>'Raw Data'!H292</f>
        <v>0.14760147601476015</v>
      </c>
    </row>
    <row r="168" spans="1:4" x14ac:dyDescent="0.3">
      <c r="A168" s="1">
        <f>'Raw Data'!A293</f>
        <v>35430</v>
      </c>
      <c r="B168" s="4">
        <f>'Raw Data'!I293</f>
        <v>2.7336899859869854E-2</v>
      </c>
      <c r="C168">
        <f>'Raw Data'!B293</f>
        <v>20.8</v>
      </c>
      <c r="D168" s="11">
        <f>'Raw Data'!H293</f>
        <v>0.14738461538461545</v>
      </c>
    </row>
    <row r="169" spans="1:4" x14ac:dyDescent="0.3">
      <c r="A169" s="1">
        <f>'Raw Data'!A294</f>
        <v>35461</v>
      </c>
      <c r="B169" s="4">
        <f>'Raw Data'!I294</f>
        <v>2.8461464663917635E-2</v>
      </c>
      <c r="C169">
        <f>'Raw Data'!B294</f>
        <v>21</v>
      </c>
      <c r="D169" s="11">
        <f>'Raw Data'!H294</f>
        <v>9.6131301289566373E-2</v>
      </c>
    </row>
    <row r="170" spans="1:4" x14ac:dyDescent="0.3">
      <c r="A170" s="1">
        <f>'Raw Data'!A295</f>
        <v>35489</v>
      </c>
      <c r="B170" s="4">
        <f>'Raw Data'!I295</f>
        <v>2.9178059793838487E-2</v>
      </c>
      <c r="C170">
        <f>'Raw Data'!B295</f>
        <v>21.1</v>
      </c>
      <c r="D170" s="11">
        <f>'Raw Data'!H295</f>
        <v>8.9691322073383706E-2</v>
      </c>
    </row>
    <row r="171" spans="1:4" x14ac:dyDescent="0.3">
      <c r="A171" s="1">
        <f>'Raw Data'!A296</f>
        <v>35520</v>
      </c>
      <c r="B171" s="4">
        <f>'Raw Data'!I296</f>
        <v>3.3053252841092451E-2</v>
      </c>
      <c r="C171">
        <f>'Raw Data'!B296</f>
        <v>20.100000000000001</v>
      </c>
      <c r="D171" s="11">
        <f>'Raw Data'!H296</f>
        <v>8.2872928176795702E-2</v>
      </c>
    </row>
    <row r="172" spans="1:4" x14ac:dyDescent="0.3">
      <c r="A172" s="1">
        <f>'Raw Data'!A297</f>
        <v>35550</v>
      </c>
      <c r="B172" s="4">
        <f>'Raw Data'!I297</f>
        <v>3.1509015160323006E-2</v>
      </c>
      <c r="C172">
        <f>'Raw Data'!B297</f>
        <v>20.5</v>
      </c>
      <c r="D172" s="11">
        <f>'Raw Data'!H297</f>
        <v>5.1303616484440706E-2</v>
      </c>
    </row>
    <row r="173" spans="1:4" x14ac:dyDescent="0.3">
      <c r="A173" s="1">
        <f>'Raw Data'!A298</f>
        <v>35580</v>
      </c>
      <c r="B173" s="4">
        <f>'Raw Data'!I298</f>
        <v>3.1194282494363484E-2</v>
      </c>
      <c r="C173">
        <f>'Raw Data'!B298</f>
        <v>21.6</v>
      </c>
      <c r="D173" s="11">
        <f>'Raw Data'!H298</f>
        <v>4.5265204109969481E-2</v>
      </c>
    </row>
    <row r="174" spans="1:4" x14ac:dyDescent="0.3">
      <c r="A174" s="1">
        <f>'Raw Data'!A299</f>
        <v>35611</v>
      </c>
      <c r="B174" s="4">
        <f>'Raw Data'!I299</f>
        <v>2.9917284289115068E-2</v>
      </c>
      <c r="C174">
        <f>'Raw Data'!B299</f>
        <v>22.5</v>
      </c>
      <c r="D174" s="11">
        <f>'Raw Data'!H299</f>
        <v>5.0333704115684164E-2</v>
      </c>
    </row>
    <row r="175" spans="1:4" x14ac:dyDescent="0.3">
      <c r="A175" s="1">
        <f>'Raw Data'!A300</f>
        <v>35642</v>
      </c>
      <c r="B175" s="4">
        <f>'Raw Data'!I300</f>
        <v>2.5191357472559413E-2</v>
      </c>
      <c r="C175">
        <f>'Raw Data'!B300</f>
        <v>23.9</v>
      </c>
      <c r="D175" s="11">
        <f>'Raw Data'!H300</f>
        <v>5.512890839275908E-2</v>
      </c>
    </row>
    <row r="176" spans="1:4" x14ac:dyDescent="0.3">
      <c r="A176" s="1">
        <f>'Raw Data'!A301</f>
        <v>35671</v>
      </c>
      <c r="B176" s="4">
        <f>'Raw Data'!I301</f>
        <v>2.8627289156011079E-2</v>
      </c>
      <c r="C176">
        <f>'Raw Data'!B301</f>
        <v>22.6</v>
      </c>
      <c r="D176" s="11">
        <f>'Raw Data'!H301</f>
        <v>6.3736263736263732E-2</v>
      </c>
    </row>
    <row r="177" spans="1:4" x14ac:dyDescent="0.3">
      <c r="A177" s="1">
        <f>'Raw Data'!A302</f>
        <v>35703</v>
      </c>
      <c r="B177" s="4">
        <f>'Raw Data'!I302</f>
        <v>2.6411685342031838E-2</v>
      </c>
      <c r="C177">
        <f>'Raw Data'!B302</f>
        <v>23.7</v>
      </c>
      <c r="D177" s="11">
        <f>'Raw Data'!H302</f>
        <v>5.8710562414266088E-2</v>
      </c>
    </row>
    <row r="178" spans="1:4" x14ac:dyDescent="0.3">
      <c r="A178" s="1">
        <f>'Raw Data'!A303</f>
        <v>35734</v>
      </c>
      <c r="B178" s="4">
        <f>'Raw Data'!I303</f>
        <v>2.3769567612091841E-2</v>
      </c>
      <c r="C178">
        <f>'Raw Data'!B303</f>
        <v>22.5</v>
      </c>
      <c r="D178" s="11">
        <f>'Raw Data'!H303</f>
        <v>7.8040904198062533E-2</v>
      </c>
    </row>
    <row r="179" spans="1:4" x14ac:dyDescent="0.3">
      <c r="A179" s="1">
        <f>'Raw Data'!A304</f>
        <v>35762</v>
      </c>
      <c r="B179" s="4">
        <f>'Raw Data'!I304</f>
        <v>2.4320720374656532E-2</v>
      </c>
      <c r="C179">
        <f>'Raw Data'!B304</f>
        <v>23.5</v>
      </c>
      <c r="D179" s="11">
        <f>'Raw Data'!H304</f>
        <v>7.9581993569131759E-2</v>
      </c>
    </row>
    <row r="180" spans="1:4" x14ac:dyDescent="0.3">
      <c r="A180" s="1">
        <f>'Raw Data'!A305</f>
        <v>35795</v>
      </c>
      <c r="B180" s="4">
        <f>'Raw Data'!I305</f>
        <v>2.3105870248747315E-2</v>
      </c>
      <c r="C180">
        <f>'Raw Data'!B305</f>
        <v>24.1</v>
      </c>
      <c r="D180" s="11">
        <f>'Raw Data'!H305</f>
        <v>8.1523196567444334E-2</v>
      </c>
    </row>
    <row r="181" spans="1:4" x14ac:dyDescent="0.3">
      <c r="A181" s="1">
        <f>'Raw Data'!A306</f>
        <v>35825</v>
      </c>
      <c r="B181" s="4">
        <f>'Raw Data'!I306</f>
        <v>2.117532256719671E-2</v>
      </c>
      <c r="C181">
        <f>'Raw Data'!B306</f>
        <v>24.1</v>
      </c>
      <c r="D181" s="11">
        <f>'Raw Data'!H306</f>
        <v>7.192513368983966E-2</v>
      </c>
    </row>
    <row r="182" spans="1:4" x14ac:dyDescent="0.3">
      <c r="A182" s="1">
        <f>'Raw Data'!A307</f>
        <v>35853</v>
      </c>
      <c r="B182" s="4">
        <f>'Raw Data'!I307</f>
        <v>2.2453423493998523E-2</v>
      </c>
      <c r="C182">
        <f>'Raw Data'!B307</f>
        <v>25.8</v>
      </c>
      <c r="D182" s="11">
        <f>'Raw Data'!H307</f>
        <v>6.9748797434526999E-2</v>
      </c>
    </row>
    <row r="183" spans="1:4" x14ac:dyDescent="0.3">
      <c r="A183" s="1">
        <f>'Raw Data'!A308</f>
        <v>35885</v>
      </c>
      <c r="B183" s="4">
        <f>'Raw Data'!I308</f>
        <v>2.3039943618635983E-2</v>
      </c>
      <c r="C183">
        <f>'Raw Data'!B308</f>
        <v>27.2</v>
      </c>
      <c r="D183" s="11">
        <f>'Raw Data'!H308</f>
        <v>7.1965628356605693E-2</v>
      </c>
    </row>
    <row r="184" spans="1:4" x14ac:dyDescent="0.3">
      <c r="A184" s="1">
        <f>'Raw Data'!A309</f>
        <v>35915</v>
      </c>
      <c r="B184" s="4">
        <f>'Raw Data'!I309</f>
        <v>2.3831451290733476E-2</v>
      </c>
      <c r="C184">
        <f>'Raw Data'!B309</f>
        <v>27.1</v>
      </c>
      <c r="D184" s="11">
        <f>'Raw Data'!H309</f>
        <v>5.5199999999999916E-2</v>
      </c>
    </row>
    <row r="185" spans="1:4" x14ac:dyDescent="0.3">
      <c r="A185" s="1">
        <f>'Raw Data'!A310</f>
        <v>35944</v>
      </c>
      <c r="B185" s="4">
        <f>'Raw Data'!I310</f>
        <v>2.2521099836541797E-2</v>
      </c>
      <c r="C185">
        <f>'Raw Data'!B310</f>
        <v>26.5</v>
      </c>
      <c r="D185" s="11">
        <f>'Raw Data'!H310</f>
        <v>4.5164718384697267E-2</v>
      </c>
    </row>
    <row r="186" spans="1:4" x14ac:dyDescent="0.3">
      <c r="A186" s="1">
        <f>'Raw Data'!A311</f>
        <v>35976</v>
      </c>
      <c r="B186" s="4">
        <f>'Raw Data'!I311</f>
        <v>2.1732718184538549E-2</v>
      </c>
      <c r="C186">
        <f>'Raw Data'!B311</f>
        <v>27.5</v>
      </c>
      <c r="D186" s="11">
        <f>'Raw Data'!H311</f>
        <v>5.0569234842467559E-2</v>
      </c>
    </row>
    <row r="187" spans="1:4" x14ac:dyDescent="0.3">
      <c r="A187" s="1">
        <f>'Raw Data'!A312</f>
        <v>36007</v>
      </c>
      <c r="B187" s="4">
        <f>'Raw Data'!I312</f>
        <v>2.2415940051114143E-2</v>
      </c>
      <c r="C187">
        <f>'Raw Data'!B312</f>
        <v>26.5</v>
      </c>
      <c r="D187" s="11">
        <f>'Raw Data'!H312</f>
        <v>6.5505588770470524E-2</v>
      </c>
    </row>
    <row r="188" spans="1:4" x14ac:dyDescent="0.3">
      <c r="A188" s="1">
        <f>'Raw Data'!A313</f>
        <v>36038</v>
      </c>
      <c r="B188" s="4">
        <f>'Raw Data'!I313</f>
        <v>1.7524184305080952E-2</v>
      </c>
      <c r="C188">
        <f>'Raw Data'!B313</f>
        <v>22.5</v>
      </c>
      <c r="D188" s="11">
        <f>'Raw Data'!H313</f>
        <v>5.5526859504132275E-2</v>
      </c>
    </row>
    <row r="189" spans="1:4" x14ac:dyDescent="0.3">
      <c r="A189" s="1">
        <f>'Raw Data'!A314</f>
        <v>36068</v>
      </c>
      <c r="B189" s="4">
        <f>'Raw Data'!I314</f>
        <v>1.2253761872065255E-2</v>
      </c>
      <c r="C189">
        <f>'Raw Data'!B314</f>
        <v>23.9</v>
      </c>
      <c r="D189" s="11">
        <f>'Raw Data'!H314</f>
        <v>6.1933143301373228E-2</v>
      </c>
    </row>
    <row r="190" spans="1:4" x14ac:dyDescent="0.3">
      <c r="A190" s="1">
        <f>'Raw Data'!A315</f>
        <v>36098</v>
      </c>
      <c r="B190" s="4">
        <f>'Raw Data'!I315</f>
        <v>1.4296437648878418E-2</v>
      </c>
      <c r="C190">
        <f>'Raw Data'!B315</f>
        <v>25.1</v>
      </c>
      <c r="D190" s="11">
        <f>'Raw Data'!H315</f>
        <v>6.7898152770843767E-2</v>
      </c>
    </row>
    <row r="191" spans="1:4" x14ac:dyDescent="0.3">
      <c r="A191" s="1">
        <f>'Raw Data'!A316</f>
        <v>36129</v>
      </c>
      <c r="B191" s="4">
        <f>'Raw Data'!I316</f>
        <v>1.5644222851740164E-2</v>
      </c>
      <c r="C191">
        <f>'Raw Data'!B316</f>
        <v>26.4</v>
      </c>
      <c r="D191" s="11">
        <f>'Raw Data'!H316</f>
        <v>7.5949367088607556E-2</v>
      </c>
    </row>
    <row r="192" spans="1:4" x14ac:dyDescent="0.3">
      <c r="A192" s="1">
        <f>'Raw Data'!A317</f>
        <v>36160</v>
      </c>
      <c r="B192" s="4">
        <f>'Raw Data'!I317</f>
        <v>1.5098221771439851E-2</v>
      </c>
      <c r="C192">
        <f>'Raw Data'!B317</f>
        <v>27.9</v>
      </c>
      <c r="D192" s="11">
        <f>'Raw Data'!H317</f>
        <v>7.8353582940738908E-2</v>
      </c>
    </row>
    <row r="193" spans="1:4" x14ac:dyDescent="0.3">
      <c r="A193" s="1">
        <f>'Raw Data'!A318</f>
        <v>36189</v>
      </c>
      <c r="B193" s="4">
        <f>'Raw Data'!I318</f>
        <v>1.5346525006928541E-2</v>
      </c>
      <c r="C193">
        <f>'Raw Data'!B318</f>
        <v>29</v>
      </c>
      <c r="D193" s="11">
        <f>'Raw Data'!H318</f>
        <v>0.11449239211773499</v>
      </c>
    </row>
    <row r="194" spans="1:4" x14ac:dyDescent="0.3">
      <c r="A194" s="1">
        <f>'Raw Data'!A319</f>
        <v>36217</v>
      </c>
      <c r="B194" s="4">
        <f>'Raw Data'!I319</f>
        <v>2.196622008134199E-2</v>
      </c>
      <c r="C194">
        <f>'Raw Data'!B319</f>
        <v>28.1</v>
      </c>
      <c r="D194" s="11">
        <f>'Raw Data'!H319</f>
        <v>0.13889582812890344</v>
      </c>
    </row>
    <row r="195" spans="1:4" x14ac:dyDescent="0.3">
      <c r="A195" s="1">
        <f>'Raw Data'!A320</f>
        <v>36250</v>
      </c>
      <c r="B195" s="4">
        <f>'Raw Data'!I320</f>
        <v>2.1980925947926833E-2</v>
      </c>
      <c r="C195">
        <f>'Raw Data'!B320</f>
        <v>29.2</v>
      </c>
      <c r="D195" s="11">
        <f>'Raw Data'!H320</f>
        <v>0.13952905811623251</v>
      </c>
    </row>
    <row r="196" spans="1:4" x14ac:dyDescent="0.3">
      <c r="A196" s="1">
        <f>'Raw Data'!A321</f>
        <v>36280</v>
      </c>
      <c r="B196" s="4">
        <f>'Raw Data'!I321</f>
        <v>2.3161545032320818E-2</v>
      </c>
      <c r="C196">
        <f>'Raw Data'!B321</f>
        <v>30.6</v>
      </c>
      <c r="D196" s="11">
        <f>'Raw Data'!H321</f>
        <v>0.1111953500126357</v>
      </c>
    </row>
    <row r="197" spans="1:4" x14ac:dyDescent="0.3">
      <c r="A197" s="1">
        <f>'Raw Data'!A322</f>
        <v>36311</v>
      </c>
      <c r="B197" s="4">
        <f>'Raw Data'!I322</f>
        <v>2.6350318916215504E-2</v>
      </c>
      <c r="C197">
        <f>'Raw Data'!B322</f>
        <v>30.1</v>
      </c>
      <c r="D197" s="11">
        <f>'Raw Data'!H322</f>
        <v>0.12150482968988285</v>
      </c>
    </row>
    <row r="198" spans="1:4" x14ac:dyDescent="0.3">
      <c r="A198" s="1">
        <f>'Raw Data'!A323</f>
        <v>36341</v>
      </c>
      <c r="B198" s="4">
        <f>'Raw Data'!I323</f>
        <v>2.8432743243677117E-2</v>
      </c>
      <c r="C198">
        <f>'Raw Data'!B323</f>
        <v>31.1</v>
      </c>
      <c r="D198" s="11">
        <f>'Raw Data'!H323</f>
        <v>0.11113911290322598</v>
      </c>
    </row>
    <row r="199" spans="1:4" x14ac:dyDescent="0.3">
      <c r="A199" s="1">
        <f>'Raw Data'!A324</f>
        <v>36371</v>
      </c>
      <c r="B199" s="4">
        <f>'Raw Data'!I324</f>
        <v>2.9400818285375038E-2</v>
      </c>
      <c r="C199">
        <f>'Raw Data'!B324</f>
        <v>29.2</v>
      </c>
      <c r="D199" s="11">
        <f>'Raw Data'!H324</f>
        <v>7.6848011710173081E-2</v>
      </c>
    </row>
    <row r="200" spans="1:4" x14ac:dyDescent="0.3">
      <c r="A200" s="1">
        <f>'Raw Data'!A325</f>
        <v>36403</v>
      </c>
      <c r="B200" s="4">
        <f>'Raw Data'!I325</f>
        <v>2.9874025459468587E-2</v>
      </c>
      <c r="C200">
        <f>'Raw Data'!B325</f>
        <v>29.2</v>
      </c>
      <c r="D200" s="11">
        <f>'Raw Data'!H325</f>
        <v>0.1008074382187425</v>
      </c>
    </row>
    <row r="201" spans="1:4" x14ac:dyDescent="0.3">
      <c r="A201" s="1">
        <f>'Raw Data'!A326</f>
        <v>36433</v>
      </c>
      <c r="B201" s="4">
        <f>'Raw Data'!I326</f>
        <v>2.8741350335828572E-2</v>
      </c>
      <c r="C201">
        <f>'Raw Data'!B326</f>
        <v>28</v>
      </c>
      <c r="D201" s="11">
        <f>'Raw Data'!H326</f>
        <v>0.10736944851146912</v>
      </c>
    </row>
    <row r="202" spans="1:4" x14ac:dyDescent="0.3">
      <c r="A202" s="1">
        <f>'Raw Data'!A327</f>
        <v>36462</v>
      </c>
      <c r="B202" s="4">
        <f>'Raw Data'!I327</f>
        <v>3.0441340690126148E-2</v>
      </c>
      <c r="C202">
        <f>'Raw Data'!B327</f>
        <v>28.6</v>
      </c>
      <c r="D202" s="11">
        <f>'Raw Data'!H327</f>
        <v>8.3683964469378092E-2</v>
      </c>
    </row>
    <row r="203" spans="1:4" x14ac:dyDescent="0.3">
      <c r="A203" s="1">
        <f>'Raw Data'!A328</f>
        <v>36494</v>
      </c>
      <c r="B203" s="4">
        <f>'Raw Data'!I328</f>
        <v>3.2247472360285433E-2</v>
      </c>
      <c r="C203">
        <f>'Raw Data'!B328</f>
        <v>29</v>
      </c>
      <c r="D203" s="11">
        <f>'Raw Data'!H328</f>
        <v>8.2814302191464684E-2</v>
      </c>
    </row>
    <row r="204" spans="1:4" x14ac:dyDescent="0.3">
      <c r="A204" s="1">
        <f>'Raw Data'!A329</f>
        <v>36525</v>
      </c>
      <c r="B204" s="4">
        <f>'Raw Data'!I329</f>
        <v>3.4989789709592406E-2</v>
      </c>
      <c r="C204">
        <f>'Raw Data'!B329</f>
        <v>30.6</v>
      </c>
      <c r="D204" s="11">
        <f>'Raw Data'!H329</f>
        <v>7.6339388365141314E-2</v>
      </c>
    </row>
    <row r="205" spans="1:4" x14ac:dyDescent="0.3">
      <c r="A205" s="1">
        <f>'Raw Data'!A330</f>
        <v>36556</v>
      </c>
      <c r="B205" s="4">
        <f>'Raw Data'!I330</f>
        <v>3.7868560807441651E-2</v>
      </c>
      <c r="C205">
        <f>'Raw Data'!B330</f>
        <v>28.4</v>
      </c>
      <c r="D205" s="11">
        <f>'Raw Data'!H330</f>
        <v>4.1853178155774273E-2</v>
      </c>
    </row>
    <row r="206" spans="1:4" x14ac:dyDescent="0.3">
      <c r="A206" s="1">
        <f>'Raw Data'!A331</f>
        <v>36585</v>
      </c>
      <c r="B206" s="4">
        <f>'Raw Data'!I331</f>
        <v>3.5306725259218977E-2</v>
      </c>
      <c r="C206">
        <f>'Raw Data'!B331</f>
        <v>27.4</v>
      </c>
      <c r="D206" s="11">
        <f>'Raw Data'!H331</f>
        <v>3.1366527747312967E-2</v>
      </c>
    </row>
    <row r="207" spans="1:4" x14ac:dyDescent="0.3">
      <c r="A207" s="1">
        <f>'Raw Data'!A332</f>
        <v>36616</v>
      </c>
      <c r="B207" s="4">
        <f>'Raw Data'!I332</f>
        <v>3.1184439737058228E-2</v>
      </c>
      <c r="C207">
        <f>'Raw Data'!B332</f>
        <v>29.6</v>
      </c>
      <c r="D207" s="11">
        <f>'Raw Data'!H332</f>
        <v>2.2862167509342779E-2</v>
      </c>
    </row>
    <row r="208" spans="1:4" x14ac:dyDescent="0.3">
      <c r="A208" s="1">
        <f>'Raw Data'!A333</f>
        <v>36644</v>
      </c>
      <c r="B208" s="4">
        <f>'Raw Data'!I333</f>
        <v>3.3534328634757055E-2</v>
      </c>
      <c r="C208">
        <f>'Raw Data'!B333</f>
        <v>29.2</v>
      </c>
      <c r="D208" s="11">
        <f>'Raw Data'!H333</f>
        <v>6.6408915169433813E-2</v>
      </c>
    </row>
    <row r="209" spans="1:4" x14ac:dyDescent="0.3">
      <c r="A209" s="1">
        <f>'Raw Data'!A334</f>
        <v>36677</v>
      </c>
      <c r="B209" s="4">
        <f>'Raw Data'!I334</f>
        <v>3.4153397769492055E-2</v>
      </c>
      <c r="C209">
        <f>'Raw Data'!B334</f>
        <v>28.2</v>
      </c>
      <c r="D209" s="11">
        <f>'Raw Data'!H334</f>
        <v>4.9637352674524182E-2</v>
      </c>
    </row>
    <row r="210" spans="1:4" x14ac:dyDescent="0.3">
      <c r="A210" s="1">
        <f>'Raw Data'!A335</f>
        <v>36707</v>
      </c>
      <c r="B210" s="4">
        <f>'Raw Data'!I335</f>
        <v>3.1659758823948982E-2</v>
      </c>
      <c r="C210">
        <f>'Raw Data'!B335</f>
        <v>29.4</v>
      </c>
      <c r="D210" s="11">
        <f>'Raw Data'!H335</f>
        <v>3.9237922431390349E-2</v>
      </c>
    </row>
    <row r="211" spans="1:4" x14ac:dyDescent="0.3">
      <c r="A211" s="1">
        <f>'Raw Data'!A336</f>
        <v>36738</v>
      </c>
      <c r="B211" s="4">
        <f>'Raw Data'!I336</f>
        <v>3.194552061288361E-2</v>
      </c>
      <c r="C211">
        <f>'Raw Data'!B336</f>
        <v>28.7</v>
      </c>
      <c r="D211" s="11">
        <f>'Raw Data'!H336</f>
        <v>-1.7671046669687329E-2</v>
      </c>
    </row>
    <row r="212" spans="1:4" x14ac:dyDescent="0.3">
      <c r="A212" s="1">
        <f>'Raw Data'!A337</f>
        <v>36769</v>
      </c>
      <c r="B212" s="4">
        <f>'Raw Data'!I337</f>
        <v>2.9738388161868183E-2</v>
      </c>
      <c r="C212">
        <f>'Raw Data'!B337</f>
        <v>30.1</v>
      </c>
      <c r="D212" s="11">
        <f>'Raw Data'!H337</f>
        <v>-7.6239164258724124E-2</v>
      </c>
    </row>
    <row r="213" spans="1:4" x14ac:dyDescent="0.3">
      <c r="A213" s="1">
        <f>'Raw Data'!A338</f>
        <v>36798</v>
      </c>
      <c r="B213" s="4">
        <f>'Raw Data'!I338</f>
        <v>3.0444612987476208E-2</v>
      </c>
      <c r="C213">
        <f>'Raw Data'!B338</f>
        <v>28.5</v>
      </c>
      <c r="D213" s="11">
        <f>'Raw Data'!H338</f>
        <v>-9.7620096959012748E-2</v>
      </c>
    </row>
    <row r="214" spans="1:4" x14ac:dyDescent="0.3">
      <c r="A214" s="1">
        <f>'Raw Data'!A339</f>
        <v>36830</v>
      </c>
      <c r="B214" s="4">
        <f>'Raw Data'!I339</f>
        <v>3.068257935850572E-2</v>
      </c>
      <c r="C214">
        <f>'Raw Data'!B339</f>
        <v>27.6</v>
      </c>
      <c r="D214" s="11">
        <f>'Raw Data'!H339</f>
        <v>-0.12316652286453844</v>
      </c>
    </row>
    <row r="215" spans="1:4" x14ac:dyDescent="0.3">
      <c r="A215" s="1">
        <f>'Raw Data'!A340</f>
        <v>36860</v>
      </c>
      <c r="B215" s="4">
        <f>'Raw Data'!I340</f>
        <v>2.7926253092941826E-2</v>
      </c>
      <c r="C215">
        <f>'Raw Data'!B340</f>
        <v>24.8</v>
      </c>
      <c r="D215" s="11">
        <f>'Raw Data'!H340</f>
        <v>-0.18491691521090758</v>
      </c>
    </row>
    <row r="216" spans="1:4" x14ac:dyDescent="0.3">
      <c r="A216" s="1">
        <f>'Raw Data'!A341</f>
        <v>36889</v>
      </c>
      <c r="B216" s="4">
        <f>'Raw Data'!I341</f>
        <v>2.44340175351688E-2</v>
      </c>
      <c r="C216">
        <f>'Raw Data'!B341</f>
        <v>25.2</v>
      </c>
      <c r="D216" s="11">
        <f>'Raw Data'!H341</f>
        <v>-0.18329416791283926</v>
      </c>
    </row>
    <row r="217" spans="1:4" x14ac:dyDescent="0.3">
      <c r="A217" s="1">
        <f>'Raw Data'!A342</f>
        <v>36922</v>
      </c>
      <c r="B217" s="4">
        <f>'Raw Data'!I342</f>
        <v>2.4249466928291052E-2</v>
      </c>
      <c r="C217">
        <f>'Raw Data'!B342</f>
        <v>26</v>
      </c>
      <c r="D217" s="11">
        <f>'Raw Data'!H342</f>
        <v>-0.20343716433941994</v>
      </c>
    </row>
    <row r="218" spans="1:4" x14ac:dyDescent="0.3">
      <c r="A218" s="1">
        <f>'Raw Data'!A343</f>
        <v>36950</v>
      </c>
      <c r="B218" s="4">
        <f>'Raw Data'!I343</f>
        <v>2.2012015193994899E-2</v>
      </c>
      <c r="C218">
        <f>'Raw Data'!B343</f>
        <v>23.4</v>
      </c>
      <c r="D218" s="11">
        <f>'Raw Data'!H343</f>
        <v>-0.24776690769885168</v>
      </c>
    </row>
    <row r="219" spans="1:4" x14ac:dyDescent="0.3">
      <c r="A219" s="1">
        <f>'Raw Data'!A344</f>
        <v>36980</v>
      </c>
      <c r="B219" s="4">
        <f>'Raw Data'!I344</f>
        <v>2.2023676245876984E-2</v>
      </c>
      <c r="C219">
        <f>'Raw Data'!B344</f>
        <v>22</v>
      </c>
      <c r="D219" s="11">
        <f>'Raw Data'!H344</f>
        <v>-0.23726627981947124</v>
      </c>
    </row>
    <row r="220" spans="1:4" x14ac:dyDescent="0.3">
      <c r="A220" s="1">
        <f>'Raw Data'!A345</f>
        <v>37011</v>
      </c>
      <c r="B220" s="4">
        <f>'Raw Data'!I345</f>
        <v>2.6327177670602817E-2</v>
      </c>
      <c r="C220">
        <f>'Raw Data'!B345</f>
        <v>23.5</v>
      </c>
      <c r="D220" s="11">
        <f>'Raw Data'!H345</f>
        <v>-0.22947323523139262</v>
      </c>
    </row>
    <row r="221" spans="1:4" x14ac:dyDescent="0.3">
      <c r="A221" s="1">
        <f>'Raw Data'!A346</f>
        <v>37042</v>
      </c>
      <c r="B221" s="4">
        <f>'Raw Data'!I346</f>
        <v>2.6613902867395504E-2</v>
      </c>
      <c r="C221">
        <f>'Raw Data'!B346</f>
        <v>24</v>
      </c>
      <c r="D221" s="11">
        <f>'Raw Data'!H346</f>
        <v>-0.22824443964586483</v>
      </c>
    </row>
    <row r="222" spans="1:4" x14ac:dyDescent="0.3">
      <c r="A222" s="1">
        <f>'Raw Data'!A347</f>
        <v>37071</v>
      </c>
      <c r="B222" s="4">
        <f>'Raw Data'!I347</f>
        <v>2.6544979776795624E-2</v>
      </c>
      <c r="C222">
        <f>'Raw Data'!B347</f>
        <v>23.7</v>
      </c>
      <c r="D222" s="11">
        <f>'Raw Data'!H347</f>
        <v>-0.22130074203404626</v>
      </c>
    </row>
    <row r="223" spans="1:4" x14ac:dyDescent="0.3">
      <c r="A223" s="1">
        <f>'Raw Data'!A348</f>
        <v>37103</v>
      </c>
      <c r="B223" s="4">
        <f>'Raw Data'!I348</f>
        <v>2.3659408799693485E-2</v>
      </c>
      <c r="C223">
        <f>'Raw Data'!B348</f>
        <v>24.7</v>
      </c>
      <c r="D223" s="11">
        <f>'Raw Data'!H348</f>
        <v>-0.15198339483394829</v>
      </c>
    </row>
    <row r="224" spans="1:4" x14ac:dyDescent="0.3">
      <c r="A224" s="1">
        <f>'Raw Data'!A349</f>
        <v>37134</v>
      </c>
      <c r="B224" s="4">
        <f>'Raw Data'!I349</f>
        <v>2.1920473546675812E-2</v>
      </c>
      <c r="C224">
        <f>'Raw Data'!B349</f>
        <v>24.4</v>
      </c>
      <c r="D224" s="11">
        <f>'Raw Data'!H349</f>
        <v>-0.11212704523580375</v>
      </c>
    </row>
    <row r="225" spans="1:4" x14ac:dyDescent="0.3">
      <c r="A225" s="1">
        <f>'Raw Data'!A350</f>
        <v>37162</v>
      </c>
      <c r="B225" s="4">
        <f>'Raw Data'!I350</f>
        <v>1.9236368695767975E-2</v>
      </c>
      <c r="C225">
        <f>'Raw Data'!B350</f>
        <v>22.9</v>
      </c>
      <c r="D225" s="11">
        <f>'Raw Data'!H350</f>
        <v>-9.719169719169729E-2</v>
      </c>
    </row>
    <row r="226" spans="1:4" x14ac:dyDescent="0.3">
      <c r="A226" s="1">
        <f>'Raw Data'!A351</f>
        <v>37195</v>
      </c>
      <c r="B226" s="4">
        <f>'Raw Data'!I351</f>
        <v>1.6294641641883399E-2</v>
      </c>
      <c r="C226">
        <f>'Raw Data'!B351</f>
        <v>23.5</v>
      </c>
      <c r="D226" s="11">
        <f>'Raw Data'!H351</f>
        <v>-6.519065190651907E-2</v>
      </c>
    </row>
    <row r="227" spans="1:4" x14ac:dyDescent="0.3">
      <c r="A227" s="1">
        <f>'Raw Data'!A352</f>
        <v>37225</v>
      </c>
      <c r="B227" s="4">
        <f>'Raw Data'!I352</f>
        <v>2.1860085077038197E-2</v>
      </c>
      <c r="C227">
        <f>'Raw Data'!B352</f>
        <v>26.7</v>
      </c>
      <c r="D227" s="11">
        <f>'Raw Data'!H352</f>
        <v>1.5420805018296013E-2</v>
      </c>
    </row>
    <row r="228" spans="1:4" x14ac:dyDescent="0.3">
      <c r="A228" s="1">
        <f>'Raw Data'!A353</f>
        <v>37256</v>
      </c>
      <c r="B228" s="4">
        <f>'Raw Data'!I353</f>
        <v>2.5005109570428508E-2</v>
      </c>
      <c r="C228">
        <f>'Raw Data'!B353</f>
        <v>27</v>
      </c>
      <c r="D228" s="11">
        <f>'Raw Data'!H353</f>
        <v>2.7726916034527926E-2</v>
      </c>
    </row>
    <row r="229" spans="1:4" x14ac:dyDescent="0.3">
      <c r="A229" s="1">
        <f>'Raw Data'!A354</f>
        <v>37287</v>
      </c>
      <c r="B229" s="4">
        <f>'Raw Data'!I354</f>
        <v>2.4946027613461229E-2</v>
      </c>
      <c r="C229">
        <f>'Raw Data'!B354</f>
        <v>27.4</v>
      </c>
      <c r="D229" s="11">
        <f>'Raw Data'!H354</f>
        <v>6.3646170442287042E-2</v>
      </c>
    </row>
    <row r="230" spans="1:4" x14ac:dyDescent="0.3">
      <c r="A230" s="1">
        <f>'Raw Data'!A355</f>
        <v>37315</v>
      </c>
      <c r="B230" s="4">
        <f>'Raw Data'!I355</f>
        <v>2.3405248241760594E-2</v>
      </c>
      <c r="C230">
        <f>'Raw Data'!B355</f>
        <v>28.3</v>
      </c>
      <c r="D230" s="11">
        <f>'Raw Data'!H355</f>
        <v>0.14249363867684472</v>
      </c>
    </row>
    <row r="231" spans="1:4" x14ac:dyDescent="0.3">
      <c r="A231" s="1">
        <f>'Raw Data'!A356</f>
        <v>37344</v>
      </c>
      <c r="B231" s="4">
        <f>'Raw Data'!I356</f>
        <v>2.8766857666476617E-2</v>
      </c>
      <c r="C231">
        <f>'Raw Data'!B356</f>
        <v>29.3</v>
      </c>
      <c r="D231" s="11">
        <f>'Raw Data'!H356</f>
        <v>0.13581290504367427</v>
      </c>
    </row>
    <row r="232" spans="1:4" x14ac:dyDescent="0.3">
      <c r="A232" s="1">
        <f>'Raw Data'!A357</f>
        <v>37376</v>
      </c>
      <c r="B232" s="4">
        <f>'Raw Data'!I357</f>
        <v>2.539924002290074E-2</v>
      </c>
      <c r="C232">
        <f>'Raw Data'!B357</f>
        <v>27.4</v>
      </c>
      <c r="D232" s="11">
        <f>'Raw Data'!H357</f>
        <v>0.11320232493772475</v>
      </c>
    </row>
    <row r="233" spans="1:4" x14ac:dyDescent="0.3">
      <c r="A233" s="1">
        <f>'Raw Data'!A358</f>
        <v>37407</v>
      </c>
      <c r="B233" s="4">
        <f>'Raw Data'!I358</f>
        <v>2.5065366735279933E-2</v>
      </c>
      <c r="C233">
        <f>'Raw Data'!B358</f>
        <v>27.5</v>
      </c>
      <c r="D233" s="11">
        <f>'Raw Data'!H358</f>
        <v>0.18606603245663123</v>
      </c>
    </row>
    <row r="234" spans="1:4" x14ac:dyDescent="0.3">
      <c r="A234" s="1">
        <f>'Raw Data'!A359</f>
        <v>37435</v>
      </c>
      <c r="B234" s="4">
        <f>'Raw Data'!I359</f>
        <v>2.2941407626762923E-2</v>
      </c>
      <c r="C234">
        <f>'Raw Data'!B359</f>
        <v>25.5</v>
      </c>
      <c r="D234" s="11">
        <f>'Raw Data'!H359</f>
        <v>0.18890134529147984</v>
      </c>
    </row>
    <row r="235" spans="1:4" x14ac:dyDescent="0.3">
      <c r="A235" s="1">
        <f>'Raw Data'!A360</f>
        <v>37468</v>
      </c>
      <c r="B235" s="4">
        <f>'Raw Data'!I360</f>
        <v>1.9505614814799489E-2</v>
      </c>
      <c r="C235">
        <f>'Raw Data'!B360</f>
        <v>23</v>
      </c>
      <c r="D235" s="11">
        <f>'Raw Data'!H360</f>
        <v>0.15420179494152819</v>
      </c>
    </row>
    <row r="236" spans="1:4" x14ac:dyDescent="0.3">
      <c r="A236" s="1">
        <f>'Raw Data'!A361</f>
        <v>37498</v>
      </c>
      <c r="B236" s="4">
        <f>'Raw Data'!I361</f>
        <v>1.6149907677056922E-2</v>
      </c>
      <c r="C236">
        <f>'Raw Data'!B361</f>
        <v>23.1</v>
      </c>
      <c r="D236" s="11">
        <f>'Raw Data'!H361</f>
        <v>0.17886178861788626</v>
      </c>
    </row>
    <row r="237" spans="1:4" x14ac:dyDescent="0.3">
      <c r="A237" s="1">
        <f>'Raw Data'!A362</f>
        <v>37529</v>
      </c>
      <c r="B237" s="4">
        <f>'Raw Data'!I362</f>
        <v>1.0897857433470798E-2</v>
      </c>
      <c r="C237">
        <f>'Raw Data'!B362</f>
        <v>20.8</v>
      </c>
      <c r="D237" s="11">
        <f>'Raw Data'!H362</f>
        <v>0.17987557479037064</v>
      </c>
    </row>
    <row r="238" spans="1:4" x14ac:dyDescent="0.3">
      <c r="A238" s="1">
        <f>'Raw Data'!A363</f>
        <v>37560</v>
      </c>
      <c r="B238" s="4">
        <f>'Raw Data'!I363</f>
        <v>1.4046274586836188E-2</v>
      </c>
      <c r="C238">
        <f>'Raw Data'!B363</f>
        <v>21.7</v>
      </c>
      <c r="D238" s="11">
        <f>'Raw Data'!H363</f>
        <v>0.16315789473684217</v>
      </c>
    </row>
    <row r="239" spans="1:4" x14ac:dyDescent="0.3">
      <c r="A239" s="1">
        <f>'Raw Data'!A364</f>
        <v>37589</v>
      </c>
      <c r="B239" s="4">
        <f>'Raw Data'!I364</f>
        <v>1.7335629661262474E-2</v>
      </c>
      <c r="C239">
        <f>'Raw Data'!B364</f>
        <v>22.2</v>
      </c>
      <c r="D239" s="11">
        <f>'Raw Data'!H364</f>
        <v>0.16190476190476177</v>
      </c>
    </row>
    <row r="240" spans="1:4" x14ac:dyDescent="0.3">
      <c r="A240" s="1">
        <f>'Raw Data'!A365</f>
        <v>37621</v>
      </c>
      <c r="B240" s="4">
        <f>'Raw Data'!I365</f>
        <v>1.3350516433103678E-2</v>
      </c>
      <c r="C240">
        <f>'Raw Data'!B365</f>
        <v>20.8</v>
      </c>
      <c r="D240" s="11">
        <f>'Raw Data'!H365</f>
        <v>0.15856452023415635</v>
      </c>
    </row>
    <row r="241" spans="1:4" x14ac:dyDescent="0.3">
      <c r="A241" s="1">
        <f>'Raw Data'!A366</f>
        <v>37652</v>
      </c>
      <c r="B241" s="4">
        <f>'Raw Data'!I366</f>
        <v>1.4769997881320024E-2</v>
      </c>
      <c r="C241">
        <f>'Raw Data'!B366</f>
        <v>20.2</v>
      </c>
      <c r="D241" s="11">
        <f>'Raw Data'!H366</f>
        <v>0.18990872210953347</v>
      </c>
    </row>
    <row r="242" spans="1:4" x14ac:dyDescent="0.3">
      <c r="A242" s="1">
        <f>'Raw Data'!A367</f>
        <v>37680</v>
      </c>
      <c r="B242" s="4">
        <f>'Raw Data'!I367</f>
        <v>1.1685282393454947E-2</v>
      </c>
      <c r="C242">
        <f>'Raw Data'!B367</f>
        <v>19.3</v>
      </c>
      <c r="D242" s="11">
        <f>'Raw Data'!H367</f>
        <v>0.20836426627072502</v>
      </c>
    </row>
    <row r="243" spans="1:4" x14ac:dyDescent="0.3">
      <c r="A243" s="1">
        <f>'Raw Data'!A368</f>
        <v>37711</v>
      </c>
      <c r="B243" s="4">
        <f>'Raw Data'!I368</f>
        <v>1.2761086040379566E-2</v>
      </c>
      <c r="C243">
        <f>'Raw Data'!B368</f>
        <v>19.5</v>
      </c>
      <c r="D243" s="11">
        <f>'Raw Data'!H368</f>
        <v>0.21260233192756139</v>
      </c>
    </row>
    <row r="244" spans="1:4" x14ac:dyDescent="0.3">
      <c r="A244" s="1">
        <f>'Raw Data'!A369</f>
        <v>37741</v>
      </c>
      <c r="B244" s="4">
        <f>'Raw Data'!I369</f>
        <v>1.388892304766421E-2</v>
      </c>
      <c r="C244">
        <f>'Raw Data'!B369</f>
        <v>21</v>
      </c>
      <c r="D244" s="11">
        <f>'Raw Data'!H369</f>
        <v>0.24365987071108908</v>
      </c>
    </row>
    <row r="245" spans="1:4" x14ac:dyDescent="0.3">
      <c r="A245" s="1">
        <f>'Raw Data'!A370</f>
        <v>37771</v>
      </c>
      <c r="B245" s="4">
        <f>'Raw Data'!I370</f>
        <v>9.6413165267698539E-3</v>
      </c>
      <c r="C245">
        <f>'Raw Data'!B370</f>
        <v>21.1</v>
      </c>
      <c r="D245" s="11">
        <f>'Raw Data'!H370</f>
        <v>0.23024298183533842</v>
      </c>
    </row>
    <row r="246" spans="1:4" x14ac:dyDescent="0.3">
      <c r="A246" s="1">
        <f>'Raw Data'!A371</f>
        <v>37802</v>
      </c>
      <c r="B246" s="4">
        <f>'Raw Data'!I371</f>
        <v>1.1110388655288607E-2</v>
      </c>
      <c r="C246">
        <f>'Raw Data'!B371</f>
        <v>21.3</v>
      </c>
      <c r="D246" s="11">
        <f>'Raw Data'!H371</f>
        <v>0.25577557755775571</v>
      </c>
    </row>
    <row r="247" spans="1:4" x14ac:dyDescent="0.3">
      <c r="A247" s="1">
        <f>'Raw Data'!A372</f>
        <v>37833</v>
      </c>
      <c r="B247" s="4">
        <f>'Raw Data'!I372</f>
        <v>1.9807174165410418E-2</v>
      </c>
      <c r="C247">
        <f>'Raw Data'!B372</f>
        <v>21.6</v>
      </c>
      <c r="D247" s="11">
        <f>'Raw Data'!H372</f>
        <v>0.25848256361922717</v>
      </c>
    </row>
    <row r="248" spans="1:4" x14ac:dyDescent="0.3">
      <c r="A248" s="1">
        <f>'Raw Data'!A373</f>
        <v>37862</v>
      </c>
      <c r="B248" s="4">
        <f>'Raw Data'!I373</f>
        <v>2.0104479739497638E-2</v>
      </c>
      <c r="C248">
        <f>'Raw Data'!B373</f>
        <v>21.5</v>
      </c>
      <c r="D248" s="11">
        <f>'Raw Data'!H373</f>
        <v>0.25310344827586206</v>
      </c>
    </row>
    <row r="249" spans="1:4" x14ac:dyDescent="0.3">
      <c r="A249" s="1">
        <f>'Raw Data'!A374</f>
        <v>37894</v>
      </c>
      <c r="B249" s="4">
        <f>'Raw Data'!I374</f>
        <v>1.4713234856460401E-2</v>
      </c>
      <c r="C249">
        <f>'Raw Data'!B374</f>
        <v>21.2</v>
      </c>
      <c r="D249" s="11">
        <f>'Raw Data'!H374</f>
        <v>0.25057313159101335</v>
      </c>
    </row>
    <row r="250" spans="1:4" x14ac:dyDescent="0.3">
      <c r="A250" s="1">
        <f>'Raw Data'!A375</f>
        <v>37925</v>
      </c>
      <c r="B250" s="4">
        <f>'Raw Data'!I375</f>
        <v>1.8787021840568394E-2</v>
      </c>
      <c r="C250">
        <f>'Raw Data'!B375</f>
        <v>22.1</v>
      </c>
      <c r="D250" s="11">
        <f>'Raw Data'!H375</f>
        <v>0.23642533936651566</v>
      </c>
    </row>
    <row r="251" spans="1:4" x14ac:dyDescent="0.3">
      <c r="A251" s="1">
        <f>'Raw Data'!A376</f>
        <v>37953</v>
      </c>
      <c r="B251" s="4">
        <f>'Raw Data'!I376</f>
        <v>1.9342603944742735E-2</v>
      </c>
      <c r="C251">
        <f>'Raw Data'!B376</f>
        <v>21.9</v>
      </c>
      <c r="D251" s="11">
        <f>'Raw Data'!H376</f>
        <v>0.23393885688967653</v>
      </c>
    </row>
    <row r="252" spans="1:4" x14ac:dyDescent="0.3">
      <c r="A252" s="1">
        <f>'Raw Data'!A377</f>
        <v>37986</v>
      </c>
      <c r="B252" s="4">
        <f>'Raw Data'!I377</f>
        <v>1.8506416204763496E-2</v>
      </c>
      <c r="C252">
        <f>'Raw Data'!B377</f>
        <v>22.7</v>
      </c>
      <c r="D252" s="11">
        <f>'Raw Data'!H377</f>
        <v>0.22891036906854123</v>
      </c>
    </row>
    <row r="253" spans="1:4" x14ac:dyDescent="0.3">
      <c r="A253" s="1">
        <f>'Raw Data'!A378</f>
        <v>38016</v>
      </c>
      <c r="B253" s="4">
        <f>'Raw Data'!I378</f>
        <v>1.6885643516214799E-2</v>
      </c>
      <c r="C253">
        <f>'Raw Data'!B378</f>
        <v>22.4</v>
      </c>
      <c r="D253" s="11">
        <f>'Raw Data'!H378</f>
        <v>0.21819731515022389</v>
      </c>
    </row>
    <row r="254" spans="1:4" x14ac:dyDescent="0.3">
      <c r="A254" s="1">
        <f>'Raw Data'!A379</f>
        <v>38044</v>
      </c>
      <c r="B254" s="4">
        <f>'Raw Data'!I379</f>
        <v>1.5375634820860538E-2</v>
      </c>
      <c r="C254">
        <f>'Raw Data'!B379</f>
        <v>21.9</v>
      </c>
      <c r="D254" s="11">
        <f>'Raw Data'!H379</f>
        <v>0.19148064714314983</v>
      </c>
    </row>
    <row r="255" spans="1:4" x14ac:dyDescent="0.3">
      <c r="A255" s="1">
        <f>'Raw Data'!A380</f>
        <v>38077</v>
      </c>
      <c r="B255" s="4">
        <f>'Raw Data'!I380</f>
        <v>1.4055331242135656E-2</v>
      </c>
      <c r="C255">
        <f>'Raw Data'!B380</f>
        <v>21.7</v>
      </c>
      <c r="D255" s="11">
        <f>'Raw Data'!H380</f>
        <v>0.18985270049099823</v>
      </c>
    </row>
    <row r="256" spans="1:4" x14ac:dyDescent="0.3">
      <c r="A256" s="1">
        <f>'Raw Data'!A381</f>
        <v>38107</v>
      </c>
      <c r="B256" s="4">
        <f>'Raw Data'!I381</f>
        <v>2.0600825162652187E-2</v>
      </c>
      <c r="C256">
        <f>'Raw Data'!B381</f>
        <v>20.8</v>
      </c>
      <c r="D256" s="11">
        <f>'Raw Data'!H381</f>
        <v>0.17233106757297079</v>
      </c>
    </row>
    <row r="257" spans="1:4" x14ac:dyDescent="0.3">
      <c r="A257" s="1">
        <f>'Raw Data'!A382</f>
        <v>38138</v>
      </c>
      <c r="B257" s="4">
        <f>'Raw Data'!I382</f>
        <v>2.1902976043433497E-2</v>
      </c>
      <c r="C257">
        <f>'Raw Data'!B382</f>
        <v>20.100000000000001</v>
      </c>
      <c r="D257" s="11">
        <f>'Raw Data'!H382</f>
        <v>0.14170661553211894</v>
      </c>
    </row>
    <row r="258" spans="1:4" x14ac:dyDescent="0.3">
      <c r="A258" s="1">
        <f>'Raw Data'!A383</f>
        <v>38168</v>
      </c>
      <c r="B258" s="4">
        <f>'Raw Data'!I383</f>
        <v>2.1220058092304123E-2</v>
      </c>
      <c r="C258">
        <f>'Raw Data'!B383</f>
        <v>20</v>
      </c>
      <c r="D258" s="11">
        <f>'Raw Data'!H383</f>
        <v>0.11788999436831227</v>
      </c>
    </row>
    <row r="259" spans="1:4" x14ac:dyDescent="0.3">
      <c r="A259" s="1">
        <f>'Raw Data'!A384</f>
        <v>38198</v>
      </c>
      <c r="B259" s="4">
        <f>'Raw Data'!I384</f>
        <v>2.0307445179470036E-2</v>
      </c>
      <c r="C259">
        <f>'Raw Data'!B384</f>
        <v>19.2</v>
      </c>
      <c r="D259" s="11">
        <f>'Raw Data'!H384</f>
        <v>0.15708668788616365</v>
      </c>
    </row>
    <row r="260" spans="1:4" x14ac:dyDescent="0.3">
      <c r="A260" s="1">
        <f>'Raw Data'!A385</f>
        <v>38230</v>
      </c>
      <c r="B260" s="4">
        <f>'Raw Data'!I385</f>
        <v>1.7076613469797934E-2</v>
      </c>
      <c r="C260">
        <f>'Raw Data'!B385</f>
        <v>19</v>
      </c>
      <c r="D260" s="11">
        <f>'Raw Data'!H385</f>
        <v>0.1458447991194276</v>
      </c>
    </row>
    <row r="261" spans="1:4" x14ac:dyDescent="0.3">
      <c r="A261" s="1">
        <f>'Raw Data'!A386</f>
        <v>38260</v>
      </c>
      <c r="B261" s="4">
        <f>'Raw Data'!I386</f>
        <v>1.6938331926820274E-2</v>
      </c>
      <c r="C261">
        <f>'Raw Data'!B386</f>
        <v>19.100000000000001</v>
      </c>
      <c r="D261" s="11">
        <f>'Raw Data'!H386</f>
        <v>0.14610449129239234</v>
      </c>
    </row>
    <row r="262" spans="1:4" x14ac:dyDescent="0.3">
      <c r="A262" s="1">
        <f>'Raw Data'!A387</f>
        <v>38289</v>
      </c>
      <c r="B262" s="4">
        <f>'Raw Data'!I387</f>
        <v>1.5528555293180819E-2</v>
      </c>
      <c r="C262">
        <f>'Raw Data'!B387</f>
        <v>19.2</v>
      </c>
      <c r="D262" s="11">
        <f>'Raw Data'!H387</f>
        <v>0.16486733760292771</v>
      </c>
    </row>
    <row r="263" spans="1:4" x14ac:dyDescent="0.3">
      <c r="A263" s="1">
        <f>'Raw Data'!A388</f>
        <v>38321</v>
      </c>
      <c r="B263" s="4">
        <f>'Raw Data'!I388</f>
        <v>1.8630293113207547E-2</v>
      </c>
      <c r="C263">
        <f>'Raw Data'!B388</f>
        <v>19.7</v>
      </c>
      <c r="D263" s="11">
        <f>'Raw Data'!H388</f>
        <v>0.14865350089766594</v>
      </c>
    </row>
    <row r="264" spans="1:4" x14ac:dyDescent="0.3">
      <c r="A264" s="1">
        <f>'Raw Data'!A389</f>
        <v>38352</v>
      </c>
      <c r="B264" s="4">
        <f>'Raw Data'!I389</f>
        <v>1.7465334965370179E-2</v>
      </c>
      <c r="C264">
        <f>'Raw Data'!B389</f>
        <v>20.3</v>
      </c>
      <c r="D264" s="11">
        <f>'Raw Data'!H389</f>
        <v>0.14747944225956378</v>
      </c>
    </row>
    <row r="265" spans="1:4" x14ac:dyDescent="0.3">
      <c r="A265" s="1">
        <f>'Raw Data'!A390</f>
        <v>38383</v>
      </c>
      <c r="B265" s="4">
        <f>'Raw Data'!I390</f>
        <v>1.6861478976091797E-2</v>
      </c>
      <c r="C265">
        <f>'Raw Data'!B390</f>
        <v>19.399999999999999</v>
      </c>
      <c r="D265" s="11">
        <f>'Raw Data'!H390</f>
        <v>0.12891376596116855</v>
      </c>
    </row>
    <row r="266" spans="1:4" x14ac:dyDescent="0.3">
      <c r="A266" s="1">
        <f>'Raw Data'!A391</f>
        <v>38411</v>
      </c>
      <c r="B266" s="4">
        <f>'Raw Data'!I391</f>
        <v>1.9086532088181292E-2</v>
      </c>
      <c r="C266">
        <f>'Raw Data'!B391</f>
        <v>19.5</v>
      </c>
      <c r="D266" s="11">
        <f>'Raw Data'!H391</f>
        <v>0.12873839807493992</v>
      </c>
    </row>
    <row r="267" spans="1:4" x14ac:dyDescent="0.3">
      <c r="A267" s="1">
        <f>'Raw Data'!A392</f>
        <v>38442</v>
      </c>
      <c r="B267" s="4">
        <f>'Raw Data'!I392</f>
        <v>2.0167915906034485E-2</v>
      </c>
      <c r="C267">
        <f>'Raw Data'!B392</f>
        <v>19.100000000000001</v>
      </c>
      <c r="D267" s="11">
        <f>'Raw Data'!H392</f>
        <v>0.13755158184319116</v>
      </c>
    </row>
    <row r="268" spans="1:4" x14ac:dyDescent="0.3">
      <c r="A268" s="1">
        <f>'Raw Data'!A393</f>
        <v>38471</v>
      </c>
      <c r="B268" s="4">
        <f>'Raw Data'!I393</f>
        <v>1.7315838794689037E-2</v>
      </c>
      <c r="C268">
        <f>'Raw Data'!B393</f>
        <v>18.7</v>
      </c>
      <c r="D268" s="11">
        <f>'Raw Data'!H393</f>
        <v>0.15859481582537516</v>
      </c>
    </row>
    <row r="269" spans="1:4" x14ac:dyDescent="0.3">
      <c r="A269" s="1">
        <f>'Raw Data'!A394</f>
        <v>38503</v>
      </c>
      <c r="B269" s="4">
        <f>'Raw Data'!I394</f>
        <v>1.5441025667753731E-2</v>
      </c>
      <c r="C269">
        <f>'Raw Data'!B394</f>
        <v>19</v>
      </c>
      <c r="D269" s="11">
        <f>'Raw Data'!H394</f>
        <v>0.16073228081961699</v>
      </c>
    </row>
    <row r="270" spans="1:4" x14ac:dyDescent="0.3">
      <c r="A270" s="1">
        <f>'Raw Data'!A395</f>
        <v>38533</v>
      </c>
      <c r="B270" s="4">
        <f>'Raw Data'!I395</f>
        <v>1.491997031763409E-2</v>
      </c>
      <c r="C270">
        <f>'Raw Data'!B395</f>
        <v>19</v>
      </c>
      <c r="D270" s="11">
        <f>'Raw Data'!H395</f>
        <v>0.16859781696053755</v>
      </c>
    </row>
    <row r="271" spans="1:4" x14ac:dyDescent="0.3">
      <c r="A271" s="1">
        <f>'Raw Data'!A396</f>
        <v>38562</v>
      </c>
      <c r="B271" s="4">
        <f>'Raw Data'!I396</f>
        <v>1.8051586753557475E-2</v>
      </c>
      <c r="C271">
        <f>'Raw Data'!B396</f>
        <v>19</v>
      </c>
      <c r="D271" s="11">
        <f>'Raw Data'!H396</f>
        <v>0.15517799352750816</v>
      </c>
    </row>
    <row r="272" spans="1:4" x14ac:dyDescent="0.3">
      <c r="A272" s="1">
        <f>'Raw Data'!A397</f>
        <v>38595</v>
      </c>
      <c r="B272" s="4">
        <f>'Raw Data'!I397</f>
        <v>1.4953745541930942E-2</v>
      </c>
      <c r="C272">
        <f>'Raw Data'!B397</f>
        <v>18.600000000000001</v>
      </c>
      <c r="D272" s="11">
        <f>'Raw Data'!H397</f>
        <v>0.14809478065962201</v>
      </c>
    </row>
    <row r="273" spans="1:4" x14ac:dyDescent="0.3">
      <c r="A273" s="1">
        <f>'Raw Data'!A398</f>
        <v>38625</v>
      </c>
      <c r="B273" s="4">
        <f>'Raw Data'!I398</f>
        <v>1.6835062917624703E-2</v>
      </c>
      <c r="C273">
        <f>'Raw Data'!B398</f>
        <v>18.7</v>
      </c>
      <c r="D273" s="11">
        <f>'Raw Data'!H398</f>
        <v>0.15067178502879064</v>
      </c>
    </row>
    <row r="274" spans="1:4" x14ac:dyDescent="0.3">
      <c r="A274" s="1">
        <f>'Raw Data'!A399</f>
        <v>38656</v>
      </c>
      <c r="B274" s="4">
        <f>'Raw Data'!I399</f>
        <v>1.9268106153381266E-2</v>
      </c>
      <c r="C274">
        <f>'Raw Data'!B399</f>
        <v>18.100000000000001</v>
      </c>
      <c r="D274" s="11">
        <f>'Raw Data'!H399</f>
        <v>0.1497015394282124</v>
      </c>
    </row>
    <row r="275" spans="1:4" x14ac:dyDescent="0.3">
      <c r="A275" s="1">
        <f>'Raw Data'!A400</f>
        <v>38686</v>
      </c>
      <c r="B275" s="4">
        <f>'Raw Data'!I400</f>
        <v>1.9258334277471596E-2</v>
      </c>
      <c r="C275">
        <f>'Raw Data'!B400</f>
        <v>18.600000000000001</v>
      </c>
      <c r="D275" s="11">
        <f>'Raw Data'!H400</f>
        <v>0.16176930290715852</v>
      </c>
    </row>
    <row r="276" spans="1:4" x14ac:dyDescent="0.3">
      <c r="A276" s="1">
        <f>'Raw Data'!A401</f>
        <v>38716</v>
      </c>
      <c r="B276" s="4">
        <f>'Raw Data'!I401</f>
        <v>1.8381706855172437E-2</v>
      </c>
      <c r="C276">
        <f>'Raw Data'!B401</f>
        <v>18.5</v>
      </c>
      <c r="D276" s="11">
        <f>'Raw Data'!H401</f>
        <v>0.16077270602897653</v>
      </c>
    </row>
    <row r="277" spans="1:4" x14ac:dyDescent="0.3">
      <c r="A277" s="1">
        <f>'Raw Data'!A402</f>
        <v>38748</v>
      </c>
      <c r="B277" s="4">
        <f>'Raw Data'!I402</f>
        <v>1.9594062476538936E-2</v>
      </c>
      <c r="C277">
        <f>'Raw Data'!B402</f>
        <v>18.899999999999999</v>
      </c>
      <c r="D277" s="11">
        <f>'Raw Data'!H402</f>
        <v>0.16485900216919736</v>
      </c>
    </row>
    <row r="278" spans="1:4" x14ac:dyDescent="0.3">
      <c r="A278" s="1">
        <f>'Raw Data'!A403</f>
        <v>38776</v>
      </c>
      <c r="B278" s="4">
        <f>'Raw Data'!I403</f>
        <v>1.9981308306586704E-2</v>
      </c>
      <c r="C278">
        <f>'Raw Data'!B403</f>
        <v>18.600000000000001</v>
      </c>
      <c r="D278" s="11">
        <f>'Raw Data'!H403</f>
        <v>0.16293589157910771</v>
      </c>
    </row>
    <row r="279" spans="1:4" x14ac:dyDescent="0.3">
      <c r="A279" s="1">
        <f>'Raw Data'!A404</f>
        <v>38807</v>
      </c>
      <c r="B279" s="4">
        <f>'Raw Data'!I404</f>
        <v>2.319739680118741E-2</v>
      </c>
      <c r="C279">
        <f>'Raw Data'!B404</f>
        <v>18.7</v>
      </c>
      <c r="D279" s="11">
        <f>'Raw Data'!H404</f>
        <v>0.16308948004836776</v>
      </c>
    </row>
    <row r="280" spans="1:4" x14ac:dyDescent="0.3">
      <c r="A280" s="1">
        <f>'Raw Data'!A405</f>
        <v>38835</v>
      </c>
      <c r="B280" s="4">
        <f>'Raw Data'!I405</f>
        <v>2.5220100298761323E-2</v>
      </c>
      <c r="C280">
        <f>'Raw Data'!B405</f>
        <v>18.399999999999999</v>
      </c>
      <c r="D280" s="11">
        <f>'Raw Data'!H405</f>
        <v>0.13614954371504262</v>
      </c>
    </row>
    <row r="281" spans="1:4" x14ac:dyDescent="0.3">
      <c r="A281" s="1">
        <f>'Raw Data'!A406</f>
        <v>38868</v>
      </c>
      <c r="B281" s="4">
        <f>'Raw Data'!I406</f>
        <v>2.5600876248521712E-2</v>
      </c>
      <c r="C281">
        <f>'Raw Data'!B406</f>
        <v>17.5</v>
      </c>
      <c r="D281" s="11">
        <f>'Raw Data'!H406</f>
        <v>0.15612791202430909</v>
      </c>
    </row>
    <row r="282" spans="1:4" x14ac:dyDescent="0.3">
      <c r="A282" s="1">
        <f>'Raw Data'!A407</f>
        <v>38898</v>
      </c>
      <c r="B282" s="4">
        <f>'Raw Data'!I407</f>
        <v>2.578298651741006E-2</v>
      </c>
      <c r="C282">
        <f>'Raw Data'!B407</f>
        <v>17.5</v>
      </c>
      <c r="D282" s="11">
        <f>'Raw Data'!H407</f>
        <v>0.14872826555539587</v>
      </c>
    </row>
    <row r="283" spans="1:4" x14ac:dyDescent="0.3">
      <c r="A283" s="1">
        <f>'Raw Data'!A408</f>
        <v>38929</v>
      </c>
      <c r="B283" s="4">
        <f>'Raw Data'!I408</f>
        <v>2.3931548441550196E-2</v>
      </c>
      <c r="C283">
        <f>'Raw Data'!B408</f>
        <v>17.100000000000001</v>
      </c>
      <c r="D283" s="11">
        <f>'Raw Data'!H408</f>
        <v>0.12914974086006437</v>
      </c>
    </row>
    <row r="284" spans="1:4" x14ac:dyDescent="0.3">
      <c r="A284" s="1">
        <f>'Raw Data'!A409</f>
        <v>38960</v>
      </c>
      <c r="B284" s="4">
        <f>'Raw Data'!I409</f>
        <v>2.1018027028905067E-2</v>
      </c>
      <c r="C284">
        <f>'Raw Data'!B409</f>
        <v>17.399999999999999</v>
      </c>
      <c r="D284" s="11">
        <f>'Raw Data'!H409</f>
        <v>0.16552782038767266</v>
      </c>
    </row>
    <row r="285" spans="1:4" x14ac:dyDescent="0.3">
      <c r="A285" s="1">
        <f>'Raw Data'!A410</f>
        <v>38989</v>
      </c>
      <c r="B285" s="4">
        <f>'Raw Data'!I410</f>
        <v>2.0868427240745738E-2</v>
      </c>
      <c r="C285">
        <f>'Raw Data'!B410</f>
        <v>17.7</v>
      </c>
      <c r="D285" s="11">
        <f>'Raw Data'!H410</f>
        <v>0.1640255768696135</v>
      </c>
    </row>
    <row r="286" spans="1:4" x14ac:dyDescent="0.3">
      <c r="A286" s="1">
        <f>'Raw Data'!A411</f>
        <v>39021</v>
      </c>
      <c r="B286" s="4">
        <f>'Raw Data'!I411</f>
        <v>2.1378853190444136E-2</v>
      </c>
      <c r="C286">
        <f>'Raw Data'!B411</f>
        <v>18</v>
      </c>
      <c r="D286" s="11">
        <f>'Raw Data'!H411</f>
        <v>0.138953408935647</v>
      </c>
    </row>
    <row r="287" spans="1:4" x14ac:dyDescent="0.3">
      <c r="A287" s="1">
        <f>'Raw Data'!A412</f>
        <v>39051</v>
      </c>
      <c r="B287" s="4">
        <f>'Raw Data'!I412</f>
        <v>2.0181425775853717E-2</v>
      </c>
      <c r="C287">
        <f>'Raw Data'!B412</f>
        <v>18.100000000000001</v>
      </c>
      <c r="D287" s="11">
        <f>'Raw Data'!H412</f>
        <v>6.6191309027310741E-2</v>
      </c>
    </row>
    <row r="288" spans="1:4" x14ac:dyDescent="0.3">
      <c r="A288" s="1">
        <f>'Raw Data'!A413</f>
        <v>39080</v>
      </c>
      <c r="B288" s="4">
        <f>'Raw Data'!I413</f>
        <v>2.2322921694390124E-2</v>
      </c>
      <c r="C288">
        <f>'Raw Data'!B413</f>
        <v>18.2</v>
      </c>
      <c r="D288" s="11">
        <f>'Raw Data'!H413</f>
        <v>5.5563011676285079E-2</v>
      </c>
    </row>
    <row r="289" spans="1:4" x14ac:dyDescent="0.3">
      <c r="A289" s="1">
        <f>'Raw Data'!A414</f>
        <v>39113</v>
      </c>
      <c r="B289" s="4">
        <f>'Raw Data'!I414</f>
        <v>2.3516072348970816E-2</v>
      </c>
      <c r="C289">
        <f>'Raw Data'!B414</f>
        <v>18.5</v>
      </c>
      <c r="D289" s="11">
        <f>'Raw Data'!H414</f>
        <v>1.6094706038840112E-2</v>
      </c>
    </row>
    <row r="290" spans="1:4" x14ac:dyDescent="0.3">
      <c r="A290" s="1">
        <f>'Raw Data'!A415</f>
        <v>39141</v>
      </c>
      <c r="B290" s="4">
        <f>'Raw Data'!I415</f>
        <v>2.0642080544750564E-2</v>
      </c>
      <c r="C290">
        <f>'Raw Data'!B415</f>
        <v>17.8</v>
      </c>
      <c r="D290" s="11">
        <f>'Raw Data'!H415</f>
        <v>5.2376587665312613E-3</v>
      </c>
    </row>
    <row r="291" spans="1:4" x14ac:dyDescent="0.3">
      <c r="A291" s="1">
        <f>'Raw Data'!A416</f>
        <v>39171</v>
      </c>
      <c r="B291" s="4">
        <f>'Raw Data'!I416</f>
        <v>2.1154551884579369E-2</v>
      </c>
      <c r="C291">
        <f>'Raw Data'!B416</f>
        <v>17.899999999999999</v>
      </c>
      <c r="D291" s="11">
        <f>'Raw Data'!H416</f>
        <v>-2.0792722547108289E-3</v>
      </c>
    </row>
    <row r="292" spans="1:4" x14ac:dyDescent="0.3">
      <c r="A292" s="1">
        <f>'Raw Data'!A417</f>
        <v>39202</v>
      </c>
      <c r="B292" s="4">
        <f>'Raw Data'!I417</f>
        <v>2.0661451683887853E-2</v>
      </c>
      <c r="C292">
        <f>'Raw Data'!B417</f>
        <v>18.5</v>
      </c>
      <c r="D292" s="11">
        <f>'Raw Data'!H417</f>
        <v>-2.085762404456537E-2</v>
      </c>
    </row>
    <row r="293" spans="1:4" x14ac:dyDescent="0.3">
      <c r="A293" s="1">
        <f>'Raw Data'!A418</f>
        <v>39233</v>
      </c>
      <c r="B293" s="4">
        <f>'Raw Data'!I418</f>
        <v>2.2888354585513346E-2</v>
      </c>
      <c r="C293">
        <f>'Raw Data'!B418</f>
        <v>18.399999999999999</v>
      </c>
      <c r="D293" s="11">
        <f>'Raw Data'!H418</f>
        <v>-6.7083854818523192E-2</v>
      </c>
    </row>
    <row r="294" spans="1:4" x14ac:dyDescent="0.3">
      <c r="A294" s="1">
        <f>'Raw Data'!A419</f>
        <v>39262</v>
      </c>
      <c r="B294" s="4">
        <f>'Raw Data'!I419</f>
        <v>2.4203243354820166E-2</v>
      </c>
      <c r="C294">
        <f>'Raw Data'!B419</f>
        <v>18.100000000000001</v>
      </c>
      <c r="D294" s="11">
        <f>'Raw Data'!H419</f>
        <v>-6.8926695021265805E-2</v>
      </c>
    </row>
    <row r="295" spans="1:4" x14ac:dyDescent="0.3">
      <c r="A295" s="1">
        <f>'Raw Data'!A420</f>
        <v>39294</v>
      </c>
      <c r="B295" s="4">
        <f>'Raw Data'!I420</f>
        <v>2.1248721146641697E-2</v>
      </c>
      <c r="C295">
        <f>'Raw Data'!B420</f>
        <v>17.399999999999999</v>
      </c>
      <c r="D295" s="11">
        <f>'Raw Data'!H420</f>
        <v>-7.3812182111400615E-2</v>
      </c>
    </row>
    <row r="296" spans="1:4" x14ac:dyDescent="0.3">
      <c r="A296" s="1">
        <f>'Raw Data'!A421</f>
        <v>39325</v>
      </c>
      <c r="B296" s="4">
        <f>'Raw Data'!I421</f>
        <v>1.9412642486133141E-2</v>
      </c>
      <c r="C296">
        <f>'Raw Data'!B421</f>
        <v>17</v>
      </c>
      <c r="D296" s="11">
        <f>'Raw Data'!H421</f>
        <v>-9.6434553720985861E-2</v>
      </c>
    </row>
    <row r="297" spans="1:4" x14ac:dyDescent="0.3">
      <c r="A297" s="1">
        <f>'Raw Data'!A422</f>
        <v>39353</v>
      </c>
      <c r="B297" s="4">
        <f>'Raw Data'!I422</f>
        <v>1.978369561754581E-2</v>
      </c>
      <c r="C297">
        <f>'Raw Data'!B422</f>
        <v>17.600000000000001</v>
      </c>
      <c r="D297" s="11">
        <f>'Raw Data'!H422</f>
        <v>-0.10031048483400995</v>
      </c>
    </row>
    <row r="298" spans="1:4" x14ac:dyDescent="0.3">
      <c r="A298" s="1">
        <f>'Raw Data'!A423</f>
        <v>39386</v>
      </c>
      <c r="B298" s="4">
        <f>'Raw Data'!I423</f>
        <v>1.8518589415467197E-2</v>
      </c>
      <c r="C298">
        <f>'Raw Data'!B423</f>
        <v>18.100000000000001</v>
      </c>
      <c r="D298" s="11">
        <f>'Raw Data'!H423</f>
        <v>-0.11024472168905952</v>
      </c>
    </row>
    <row r="299" spans="1:4" x14ac:dyDescent="0.3">
      <c r="A299" s="1">
        <f>'Raw Data'!A424</f>
        <v>39416</v>
      </c>
      <c r="B299" s="4">
        <f>'Raw Data'!I424</f>
        <v>1.2702037746238334E-2</v>
      </c>
      <c r="C299">
        <f>'Raw Data'!B424</f>
        <v>18.2</v>
      </c>
      <c r="D299" s="11">
        <f>'Raw Data'!H424</f>
        <v>-5.022082018927454E-2</v>
      </c>
    </row>
    <row r="300" spans="1:4" x14ac:dyDescent="0.3">
      <c r="A300" s="1">
        <f>'Raw Data'!A425</f>
        <v>39447</v>
      </c>
      <c r="B300" s="4">
        <f>'Raw Data'!I425</f>
        <v>1.3198334035117033E-2</v>
      </c>
      <c r="C300">
        <f>'Raw Data'!B425</f>
        <v>18.2</v>
      </c>
      <c r="D300" s="11">
        <f>'Raw Data'!H425</f>
        <v>-4.9841068022886237E-2</v>
      </c>
    </row>
    <row r="301" spans="1:4" x14ac:dyDescent="0.3">
      <c r="A301" s="1">
        <f>'Raw Data'!A426</f>
        <v>39478</v>
      </c>
      <c r="B301" s="4">
        <f>'Raw Data'!I426</f>
        <v>8.8416803093994134E-3</v>
      </c>
      <c r="C301">
        <f>'Raw Data'!B426</f>
        <v>17.600000000000001</v>
      </c>
      <c r="D301" s="11">
        <f>'Raw Data'!H426</f>
        <v>-9.1504123576384266E-2</v>
      </c>
    </row>
    <row r="302" spans="1:4" x14ac:dyDescent="0.3">
      <c r="A302" s="1">
        <f>'Raw Data'!A427</f>
        <v>39507</v>
      </c>
      <c r="B302" s="4">
        <f>'Raw Data'!I427</f>
        <v>7.6435551175322927E-3</v>
      </c>
      <c r="C302">
        <f>'Raw Data'!B427</f>
        <v>17</v>
      </c>
      <c r="D302" s="11">
        <f>'Raw Data'!H427</f>
        <v>-0.14810472840953481</v>
      </c>
    </row>
    <row r="303" spans="1:4" x14ac:dyDescent="0.3">
      <c r="A303" s="1">
        <f>'Raw Data'!A428</f>
        <v>39538</v>
      </c>
      <c r="B303" s="4">
        <f>'Raw Data'!I428</f>
        <v>6.146468915273845E-3</v>
      </c>
      <c r="C303">
        <f>'Raw Data'!B428</f>
        <v>16.899999999999999</v>
      </c>
      <c r="D303" s="11">
        <f>'Raw Data'!H428</f>
        <v>-0.15718192472978265</v>
      </c>
    </row>
    <row r="304" spans="1:4" x14ac:dyDescent="0.3">
      <c r="A304" s="1">
        <f>'Raw Data'!A429</f>
        <v>39568</v>
      </c>
      <c r="B304" s="4">
        <f>'Raw Data'!I429</f>
        <v>9.2656587011435559E-3</v>
      </c>
      <c r="C304">
        <f>'Raw Data'!B429</f>
        <v>17.899999999999999</v>
      </c>
      <c r="D304" s="11">
        <f>'Raw Data'!H429</f>
        <v>-0.16525535856046569</v>
      </c>
    </row>
    <row r="305" spans="1:4" x14ac:dyDescent="0.3">
      <c r="A305" s="1">
        <f>'Raw Data'!A430</f>
        <v>39598</v>
      </c>
      <c r="B305" s="4">
        <f>'Raw Data'!I430</f>
        <v>1.2222249166021479E-2</v>
      </c>
      <c r="C305">
        <f>'Raw Data'!B430</f>
        <v>18.5</v>
      </c>
      <c r="D305" s="11">
        <f>'Raw Data'!H430</f>
        <v>-0.18781862087469825</v>
      </c>
    </row>
    <row r="306" spans="1:4" x14ac:dyDescent="0.3">
      <c r="A306" s="1">
        <f>'Raw Data'!A431</f>
        <v>39629</v>
      </c>
      <c r="B306" s="4">
        <f>'Raw Data'!I431</f>
        <v>1.0356230303230698E-2</v>
      </c>
      <c r="C306">
        <f>'Raw Data'!B431</f>
        <v>17</v>
      </c>
      <c r="D306" s="11">
        <f>'Raw Data'!H431</f>
        <v>-0.18782748891575984</v>
      </c>
    </row>
    <row r="307" spans="1:4" x14ac:dyDescent="0.3">
      <c r="A307" s="1">
        <f>'Raw Data'!A432</f>
        <v>39660</v>
      </c>
      <c r="B307" s="4">
        <f>'Raw Data'!I432</f>
        <v>9.6662164997369793E-3</v>
      </c>
      <c r="C307">
        <f>'Raw Data'!B432</f>
        <v>16.8</v>
      </c>
      <c r="D307" s="11">
        <f>'Raw Data'!H432</f>
        <v>-0.22702919903562813</v>
      </c>
    </row>
    <row r="308" spans="1:4" x14ac:dyDescent="0.3">
      <c r="A308" s="1">
        <f>'Raw Data'!A433</f>
        <v>39689</v>
      </c>
      <c r="B308" s="4">
        <f>'Raw Data'!I433</f>
        <v>8.6957143016632432E-3</v>
      </c>
      <c r="C308">
        <f>'Raw Data'!B433</f>
        <v>16.8</v>
      </c>
      <c r="D308" s="11">
        <f>'Raw Data'!H433</f>
        <v>-0.26297669491525422</v>
      </c>
    </row>
    <row r="309" spans="1:4" x14ac:dyDescent="0.3">
      <c r="A309" s="1">
        <f>'Raw Data'!A434</f>
        <v>39721</v>
      </c>
      <c r="B309" s="4">
        <f>'Raw Data'!I434</f>
        <v>8.6907037452799846E-3</v>
      </c>
      <c r="C309">
        <f>'Raw Data'!B434</f>
        <v>15.3</v>
      </c>
      <c r="D309" s="11">
        <f>'Raw Data'!H434</f>
        <v>-0.26612689142553758</v>
      </c>
    </row>
    <row r="310" spans="1:4" x14ac:dyDescent="0.3">
      <c r="A310" s="1">
        <f>'Raw Data'!A435</f>
        <v>39752</v>
      </c>
      <c r="B310" s="4">
        <f>'Raw Data'!I435</f>
        <v>1.1280776651382836E-2</v>
      </c>
      <c r="C310">
        <f>'Raw Data'!B435</f>
        <v>12.8</v>
      </c>
      <c r="D310" s="11">
        <f>'Raw Data'!H435</f>
        <v>-0.28421194553053797</v>
      </c>
    </row>
    <row r="311" spans="1:4" x14ac:dyDescent="0.3">
      <c r="A311" s="1">
        <f>'Raw Data'!A436</f>
        <v>39780</v>
      </c>
      <c r="B311" s="4">
        <f>'Raw Data'!I436</f>
        <v>2.7415762056589126E-3</v>
      </c>
      <c r="C311">
        <f>'Raw Data'!B436</f>
        <v>11.6</v>
      </c>
      <c r="D311" s="11">
        <f>'Raw Data'!H436</f>
        <v>-0.32111066826092727</v>
      </c>
    </row>
    <row r="312" spans="1:4" x14ac:dyDescent="0.3">
      <c r="A312" s="1">
        <f>'Raw Data'!A437</f>
        <v>39813</v>
      </c>
      <c r="B312" s="4">
        <f>'Raw Data'!I437</f>
        <v>-3.272789866994575E-3</v>
      </c>
      <c r="C312">
        <f>'Raw Data'!B437</f>
        <v>11.9</v>
      </c>
      <c r="D312" s="11">
        <f>'Raw Data'!H437</f>
        <v>-0.31807841562959993</v>
      </c>
    </row>
    <row r="313" spans="1:4" x14ac:dyDescent="0.3">
      <c r="A313" s="1">
        <f>'Raw Data'!A438</f>
        <v>39843</v>
      </c>
      <c r="B313" s="4">
        <f>'Raw Data'!I438</f>
        <v>3.0049719624003386E-3</v>
      </c>
      <c r="C313">
        <f>'Raw Data'!B438</f>
        <v>11.7</v>
      </c>
      <c r="D313" s="11">
        <f>'Raw Data'!H438</f>
        <v>-0.25086455331412105</v>
      </c>
    </row>
    <row r="314" spans="1:4" x14ac:dyDescent="0.3">
      <c r="A314" s="1">
        <f>'Raw Data'!A439</f>
        <v>39871</v>
      </c>
      <c r="B314" s="4">
        <f>'Raw Data'!I439</f>
        <v>4.2620152950225386E-3</v>
      </c>
      <c r="C314">
        <f>'Raw Data'!B439</f>
        <v>11.2</v>
      </c>
      <c r="D314" s="11">
        <f>'Raw Data'!H439</f>
        <v>-0.14388379204892976</v>
      </c>
    </row>
    <row r="315" spans="1:4" x14ac:dyDescent="0.3">
      <c r="A315" s="1">
        <f>'Raw Data'!A440</f>
        <v>39903</v>
      </c>
      <c r="B315" s="4">
        <f>'Raw Data'!I440</f>
        <v>9.3560901143915215E-4</v>
      </c>
      <c r="C315">
        <f>'Raw Data'!B440</f>
        <v>12.2</v>
      </c>
      <c r="D315" s="11">
        <f>'Raw Data'!H440</f>
        <v>-0.12778121137206422</v>
      </c>
    </row>
    <row r="316" spans="1:4" x14ac:dyDescent="0.3">
      <c r="A316" s="1">
        <f>'Raw Data'!A441</f>
        <v>39933</v>
      </c>
      <c r="B316" s="4">
        <f>'Raw Data'!I441</f>
        <v>5.9845812423360185E-3</v>
      </c>
      <c r="C316">
        <f>'Raw Data'!B441</f>
        <v>13.7</v>
      </c>
      <c r="D316" s="11">
        <f>'Raw Data'!H441</f>
        <v>-3.0749722618481634E-2</v>
      </c>
    </row>
    <row r="317" spans="1:4" x14ac:dyDescent="0.3">
      <c r="A317" s="1">
        <f>'Raw Data'!A442</f>
        <v>39962</v>
      </c>
      <c r="B317" s="4">
        <f>'Raw Data'!I442</f>
        <v>9.3556113563226517E-3</v>
      </c>
      <c r="C317">
        <f>'Raw Data'!B442</f>
        <v>15</v>
      </c>
      <c r="D317" s="11">
        <f>'Raw Data'!H442</f>
        <v>5.3848695077634678E-2</v>
      </c>
    </row>
    <row r="318" spans="1:4" x14ac:dyDescent="0.3">
      <c r="A318" s="1">
        <f>'Raw Data'!A443</f>
        <v>39994</v>
      </c>
      <c r="B318" s="4">
        <f>'Raw Data'!I443</f>
        <v>9.267851405981728E-3</v>
      </c>
      <c r="C318">
        <f>'Raw Data'!B443</f>
        <v>15</v>
      </c>
      <c r="D318" s="11">
        <f>'Raw Data'!H443</f>
        <v>5.9222497932175377E-2</v>
      </c>
    </row>
    <row r="319" spans="1:4" x14ac:dyDescent="0.3">
      <c r="A319" s="1">
        <f>'Raw Data'!A444</f>
        <v>40025</v>
      </c>
      <c r="B319" s="4">
        <f>'Raw Data'!I444</f>
        <v>9.1801100341026148E-3</v>
      </c>
      <c r="C319">
        <f>'Raw Data'!B444</f>
        <v>16.899999999999999</v>
      </c>
      <c r="D319" s="11">
        <f>'Raw Data'!H444</f>
        <v>0.15733841621902633</v>
      </c>
    </row>
    <row r="320" spans="1:4" x14ac:dyDescent="0.3">
      <c r="A320" s="1">
        <f>'Raw Data'!A445</f>
        <v>40056</v>
      </c>
      <c r="B320" s="4">
        <f>'Raw Data'!I445</f>
        <v>8.2930579657993705E-3</v>
      </c>
      <c r="C320">
        <f>'Raw Data'!B445</f>
        <v>18.100000000000001</v>
      </c>
      <c r="D320" s="11">
        <f>'Raw Data'!H445</f>
        <v>0.24020840819259792</v>
      </c>
    </row>
    <row r="321" spans="1:4" x14ac:dyDescent="0.3">
      <c r="A321" s="1">
        <f>'Raw Data'!A446</f>
        <v>40086</v>
      </c>
      <c r="B321" s="4">
        <f>'Raw Data'!I446</f>
        <v>7.5439595121049377E-3</v>
      </c>
      <c r="C321">
        <f>'Raw Data'!B446</f>
        <v>18.899999999999999</v>
      </c>
      <c r="D321" s="11">
        <f>'Raw Data'!H446</f>
        <v>0.25791282329535181</v>
      </c>
    </row>
    <row r="322" spans="1:4" x14ac:dyDescent="0.3">
      <c r="A322" s="1">
        <f>'Raw Data'!A447</f>
        <v>40116</v>
      </c>
      <c r="B322" s="4">
        <f>'Raw Data'!I447</f>
        <v>8.2497438655252178E-3</v>
      </c>
      <c r="C322">
        <f>'Raw Data'!B447</f>
        <v>19.3</v>
      </c>
      <c r="D322" s="11">
        <f>'Raw Data'!H447</f>
        <v>0.34469768317950633</v>
      </c>
    </row>
    <row r="323" spans="1:4" x14ac:dyDescent="0.3">
      <c r="A323" s="1">
        <f>'Raw Data'!A448</f>
        <v>40147</v>
      </c>
      <c r="B323" s="4">
        <f>'Raw Data'!I448</f>
        <v>6.2097397171693991E-3</v>
      </c>
      <c r="C323">
        <f>'Raw Data'!B448</f>
        <v>21.2</v>
      </c>
      <c r="D323" s="11">
        <f>'Raw Data'!H448</f>
        <v>0.41585127201565553</v>
      </c>
    </row>
    <row r="324" spans="1:4" x14ac:dyDescent="0.3">
      <c r="A324" s="1">
        <f>'Raw Data'!A449</f>
        <v>40178</v>
      </c>
      <c r="B324" s="4">
        <f>'Raw Data'!I449</f>
        <v>1.2769743526893626E-2</v>
      </c>
      <c r="C324">
        <f>'Raw Data'!B449</f>
        <v>21.7</v>
      </c>
      <c r="D324" s="11">
        <f>'Raw Data'!H449</f>
        <v>0.42700156985871263</v>
      </c>
    </row>
    <row r="325" spans="1:4" x14ac:dyDescent="0.3">
      <c r="A325" s="1">
        <f>'Raw Data'!A450</f>
        <v>40207</v>
      </c>
      <c r="B325" s="4">
        <f>'Raw Data'!I450</f>
        <v>1.0476546267995789E-2</v>
      </c>
      <c r="C325">
        <f>'Raw Data'!B450</f>
        <v>20.5</v>
      </c>
      <c r="D325" s="11">
        <f>'Raw Data'!H450</f>
        <v>0.41892671667628378</v>
      </c>
    </row>
    <row r="326" spans="1:4" x14ac:dyDescent="0.3">
      <c r="A326" s="1">
        <f>'Raw Data'!A451</f>
        <v>40235</v>
      </c>
      <c r="B326" s="4">
        <f>'Raw Data'!I451</f>
        <v>1.1327132368960512E-2</v>
      </c>
      <c r="C326">
        <f>'Raw Data'!B451</f>
        <v>19.7</v>
      </c>
      <c r="D326" s="11">
        <f>'Raw Data'!H451</f>
        <v>0.35149133773888197</v>
      </c>
    </row>
    <row r="327" spans="1:4" x14ac:dyDescent="0.3">
      <c r="A327" s="1">
        <f>'Raw Data'!A452</f>
        <v>40268</v>
      </c>
      <c r="B327" s="4">
        <f>'Raw Data'!I452</f>
        <v>1.405410366118745E-2</v>
      </c>
      <c r="C327">
        <f>'Raw Data'!B452</f>
        <v>20.6</v>
      </c>
      <c r="D327" s="11">
        <f>'Raw Data'!H452</f>
        <v>0.34844995571302029</v>
      </c>
    </row>
    <row r="328" spans="1:4" x14ac:dyDescent="0.3">
      <c r="A328" s="1">
        <f>'Raw Data'!A453</f>
        <v>40298</v>
      </c>
      <c r="B328" s="4">
        <f>'Raw Data'!I453</f>
        <v>1.2230623775496871E-2</v>
      </c>
      <c r="C328">
        <f>'Raw Data'!B453</f>
        <v>19.399999999999999</v>
      </c>
      <c r="D328" s="11">
        <f>'Raw Data'!H453</f>
        <v>0.33900245298446441</v>
      </c>
    </row>
    <row r="329" spans="1:4" x14ac:dyDescent="0.3">
      <c r="A329" s="1">
        <f>'Raw Data'!A454</f>
        <v>40329</v>
      </c>
      <c r="B329" s="4">
        <f>'Raw Data'!I454</f>
        <v>8.9035141605527876E-3</v>
      </c>
      <c r="C329">
        <f>'Raw Data'!B454</f>
        <v>17.100000000000001</v>
      </c>
      <c r="D329" s="11">
        <f>'Raw Data'!H454</f>
        <v>0.28369905956112862</v>
      </c>
    </row>
    <row r="330" spans="1:4" x14ac:dyDescent="0.3">
      <c r="A330" s="1">
        <f>'Raw Data'!A455</f>
        <v>40359</v>
      </c>
      <c r="B330" s="4">
        <f>'Raw Data'!I455</f>
        <v>5.8626779328801032E-3</v>
      </c>
      <c r="C330">
        <f>'Raw Data'!B455</f>
        <v>16.100000000000001</v>
      </c>
      <c r="D330" s="11">
        <f>'Raw Data'!H455</f>
        <v>0.28471029205060128</v>
      </c>
    </row>
    <row r="331" spans="1:4" x14ac:dyDescent="0.3">
      <c r="A331" s="1">
        <f>'Raw Data'!A456</f>
        <v>40389</v>
      </c>
      <c r="B331" s="4">
        <f>'Raw Data'!I456</f>
        <v>5.6682845542121787E-3</v>
      </c>
      <c r="C331">
        <f>'Raw Data'!B456</f>
        <v>16.5</v>
      </c>
      <c r="D331" s="11">
        <f>'Raw Data'!H456</f>
        <v>0.25168438388980374</v>
      </c>
    </row>
    <row r="332" spans="1:4" x14ac:dyDescent="0.3">
      <c r="A332" s="1">
        <f>'Raw Data'!A457</f>
        <v>40421</v>
      </c>
      <c r="B332" s="4">
        <f>'Raw Data'!I457</f>
        <v>1.1688295450667553E-3</v>
      </c>
      <c r="C332">
        <f>'Raw Data'!B457</f>
        <v>15.3</v>
      </c>
      <c r="D332" s="11">
        <f>'Raw Data'!H457</f>
        <v>0.24308271765898892</v>
      </c>
    </row>
    <row r="333" spans="1:4" x14ac:dyDescent="0.3">
      <c r="A333" s="1">
        <f>'Raw Data'!A458</f>
        <v>40451</v>
      </c>
      <c r="B333" s="4">
        <f>'Raw Data'!I458</f>
        <v>1.95558416476024E-3</v>
      </c>
      <c r="C333">
        <f>'Raw Data'!B458</f>
        <v>16.5</v>
      </c>
      <c r="D333" s="11">
        <f>'Raw Data'!H458</f>
        <v>0.23824586628324962</v>
      </c>
    </row>
    <row r="334" spans="1:4" x14ac:dyDescent="0.3">
      <c r="A334" s="1">
        <f>'Raw Data'!A459</f>
        <v>40480</v>
      </c>
      <c r="B334" s="4">
        <f>'Raw Data'!I459</f>
        <v>2.6865986822606248E-3</v>
      </c>
      <c r="C334">
        <f>'Raw Data'!B459</f>
        <v>16.7</v>
      </c>
      <c r="D334" s="11">
        <f>'Raw Data'!H459</f>
        <v>0.19232385488163617</v>
      </c>
    </row>
    <row r="335" spans="1:4" x14ac:dyDescent="0.3">
      <c r="A335" s="1">
        <f>'Raw Data'!A460</f>
        <v>40512</v>
      </c>
      <c r="B335" s="4">
        <f>'Raw Data'!I460</f>
        <v>4.5440121718424778E-3</v>
      </c>
      <c r="C335">
        <f>'Raw Data'!B460</f>
        <v>16.399999999999999</v>
      </c>
      <c r="D335" s="11">
        <f>'Raw Data'!H460</f>
        <v>0.20926053904630271</v>
      </c>
    </row>
    <row r="336" spans="1:4" x14ac:dyDescent="0.3">
      <c r="A336" s="1">
        <f>'Raw Data'!A461</f>
        <v>40543</v>
      </c>
      <c r="B336" s="4">
        <f>'Raw Data'!I461</f>
        <v>9.278484430485158E-3</v>
      </c>
      <c r="C336">
        <f>'Raw Data'!B461</f>
        <v>17.399999999999999</v>
      </c>
      <c r="D336" s="11">
        <f>'Raw Data'!H461</f>
        <v>0.20407040704070423</v>
      </c>
    </row>
    <row r="337" spans="1:4" x14ac:dyDescent="0.3">
      <c r="A337" s="1">
        <f>'Raw Data'!A462</f>
        <v>40574</v>
      </c>
      <c r="B337" s="4">
        <f>'Raw Data'!I462</f>
        <v>1.0391614646155907E-2</v>
      </c>
      <c r="C337">
        <f>'Raw Data'!B462</f>
        <v>17.5</v>
      </c>
      <c r="D337" s="11">
        <f>'Raw Data'!H462</f>
        <v>0.19398129320862134</v>
      </c>
    </row>
    <row r="338" spans="1:4" x14ac:dyDescent="0.3">
      <c r="A338" s="1">
        <f>'Raw Data'!A463</f>
        <v>40602</v>
      </c>
      <c r="B338" s="4">
        <f>'Raw Data'!I463</f>
        <v>1.0776028889082218E-2</v>
      </c>
      <c r="C338">
        <f>'Raw Data'!B463</f>
        <v>17.600000000000001</v>
      </c>
      <c r="D338" s="11">
        <f>'Raw Data'!H463</f>
        <v>0.14417867054314781</v>
      </c>
    </row>
    <row r="339" spans="1:4" x14ac:dyDescent="0.3">
      <c r="A339" s="1">
        <f>'Raw Data'!A464</f>
        <v>40633</v>
      </c>
      <c r="B339" s="4">
        <f>'Raw Data'!I464</f>
        <v>1.0765935948221464E-2</v>
      </c>
      <c r="C339">
        <f>'Raw Data'!B464</f>
        <v>17.5</v>
      </c>
      <c r="D339" s="11">
        <f>'Raw Data'!H464</f>
        <v>0.13439306358381486</v>
      </c>
    </row>
    <row r="340" spans="1:4" x14ac:dyDescent="0.3">
      <c r="A340" s="1">
        <f>'Raw Data'!A465</f>
        <v>40662</v>
      </c>
      <c r="B340" s="4">
        <f>'Raw Data'!I465</f>
        <v>8.6806628981193762E-3</v>
      </c>
      <c r="C340">
        <f>'Raw Data'!B465</f>
        <v>16.8</v>
      </c>
      <c r="D340" s="11">
        <f>'Raw Data'!H465</f>
        <v>7.3888617489008546E-2</v>
      </c>
    </row>
    <row r="341" spans="1:4" x14ac:dyDescent="0.3">
      <c r="A341" s="1">
        <f>'Raw Data'!A466</f>
        <v>40694</v>
      </c>
      <c r="B341" s="4">
        <f>'Raw Data'!I466</f>
        <v>6.5665164614557812E-3</v>
      </c>
      <c r="C341">
        <f>'Raw Data'!B466</f>
        <v>16.600000000000001</v>
      </c>
      <c r="D341" s="11">
        <f>'Raw Data'!H466</f>
        <v>8.7545787545787457E-2</v>
      </c>
    </row>
    <row r="342" spans="1:4" x14ac:dyDescent="0.3">
      <c r="A342" s="1">
        <f>'Raw Data'!A467</f>
        <v>40724</v>
      </c>
      <c r="B342" s="4">
        <f>'Raw Data'!I467</f>
        <v>7.8072564147050744E-3</v>
      </c>
      <c r="C342">
        <f>'Raw Data'!B467</f>
        <v>16.100000000000001</v>
      </c>
      <c r="D342" s="11">
        <f>'Raw Data'!H467</f>
        <v>8.254315584731331E-2</v>
      </c>
    </row>
    <row r="343" spans="1:4" x14ac:dyDescent="0.3">
      <c r="A343" s="1">
        <f>'Raw Data'!A468</f>
        <v>40753</v>
      </c>
      <c r="B343" s="4">
        <f>'Raw Data'!I468</f>
        <v>3.6962880829769403E-3</v>
      </c>
      <c r="C343">
        <f>'Raw Data'!B468</f>
        <v>15.6</v>
      </c>
      <c r="D343" s="11">
        <f>'Raw Data'!H468</f>
        <v>6.7583732057416412E-2</v>
      </c>
    </row>
    <row r="344" spans="1:4" x14ac:dyDescent="0.3">
      <c r="A344" s="1">
        <f>'Raw Data'!A469</f>
        <v>40786</v>
      </c>
      <c r="B344" s="4">
        <f>'Raw Data'!I469</f>
        <v>-2.2163448508230321E-3</v>
      </c>
      <c r="C344">
        <f>'Raw Data'!B469</f>
        <v>14.3</v>
      </c>
      <c r="D344" s="11">
        <f>'Raw Data'!H469</f>
        <v>2.9600279687681974E-2</v>
      </c>
    </row>
    <row r="345" spans="1:4" x14ac:dyDescent="0.3">
      <c r="A345" s="1">
        <f>'Raw Data'!A470</f>
        <v>40816</v>
      </c>
      <c r="B345" s="4">
        <f>'Raw Data'!I470</f>
        <v>-5.2051243451071358E-3</v>
      </c>
      <c r="C345">
        <f>'Raw Data'!B470</f>
        <v>13.2</v>
      </c>
      <c r="D345" s="11">
        <f>'Raw Data'!H470</f>
        <v>2.6358569437993529E-2</v>
      </c>
    </row>
    <row r="346" spans="1:4" x14ac:dyDescent="0.3">
      <c r="A346" s="1">
        <f>'Raw Data'!A471</f>
        <v>40847</v>
      </c>
      <c r="B346" s="4">
        <f>'Raw Data'!I471</f>
        <v>-3.5723185436258957E-3</v>
      </c>
      <c r="C346">
        <f>'Raw Data'!B471</f>
        <v>14.8</v>
      </c>
      <c r="D346" s="11">
        <f>'Raw Data'!H471</f>
        <v>3.7593984962405846E-2</v>
      </c>
    </row>
    <row r="347" spans="1:4" x14ac:dyDescent="0.3">
      <c r="A347" s="1">
        <f>'Raw Data'!A472</f>
        <v>40877</v>
      </c>
      <c r="B347" s="4">
        <f>'Raw Data'!I472</f>
        <v>-4.2592438634546231E-3</v>
      </c>
      <c r="C347">
        <f>'Raw Data'!B472</f>
        <v>14.3</v>
      </c>
      <c r="D347" s="11">
        <f>'Raw Data'!H472</f>
        <v>5.3720425191450261E-3</v>
      </c>
    </row>
    <row r="348" spans="1:4" x14ac:dyDescent="0.3">
      <c r="A348" s="1">
        <f>'Raw Data'!A473</f>
        <v>40907</v>
      </c>
      <c r="B348" s="4">
        <f>'Raw Data'!I473</f>
        <v>-6.3013704668607451E-3</v>
      </c>
      <c r="C348">
        <f>'Raw Data'!B473</f>
        <v>14.4</v>
      </c>
      <c r="D348" s="11">
        <f>'Raw Data'!H473</f>
        <v>5.4819552306990538E-3</v>
      </c>
    </row>
    <row r="349" spans="1:4" x14ac:dyDescent="0.3">
      <c r="A349" s="1">
        <f>'Raw Data'!A474</f>
        <v>40939</v>
      </c>
      <c r="B349" s="4">
        <f>'Raw Data'!I474</f>
        <v>-7.2170419938461169E-3</v>
      </c>
      <c r="C349">
        <f>'Raw Data'!B474</f>
        <v>14.9</v>
      </c>
      <c r="D349" s="11">
        <f>'Raw Data'!H474</f>
        <v>-1.5894641235241203E-3</v>
      </c>
    </row>
    <row r="350" spans="1:4" x14ac:dyDescent="0.3">
      <c r="A350" s="1">
        <f>'Raw Data'!A475</f>
        <v>40968</v>
      </c>
      <c r="B350" s="4">
        <f>'Raw Data'!I475</f>
        <v>-5.4730063788733588E-3</v>
      </c>
      <c r="C350">
        <f>'Raw Data'!B475</f>
        <v>15.8</v>
      </c>
      <c r="D350" s="11">
        <f>'Raw Data'!H475</f>
        <v>4.6200046200062239E-4</v>
      </c>
    </row>
    <row r="351" spans="1:4" x14ac:dyDescent="0.3">
      <c r="A351" s="1">
        <f>'Raw Data'!A476</f>
        <v>40998</v>
      </c>
      <c r="B351" s="4">
        <f>'Raw Data'!I476</f>
        <v>-2.9998324850242716E-3</v>
      </c>
      <c r="C351">
        <f>'Raw Data'!B476</f>
        <v>16.3</v>
      </c>
      <c r="D351" s="11">
        <f>'Raw Data'!H476</f>
        <v>2.7793862188767449E-3</v>
      </c>
    </row>
    <row r="352" spans="1:4" x14ac:dyDescent="0.3">
      <c r="A352" s="1">
        <f>'Raw Data'!A477</f>
        <v>41029</v>
      </c>
      <c r="B352" s="4">
        <f>'Raw Data'!I477</f>
        <v>-5.6615659123729206E-3</v>
      </c>
      <c r="C352">
        <f>'Raw Data'!B477</f>
        <v>15.9</v>
      </c>
      <c r="D352" s="11">
        <f>'Raw Data'!H477</f>
        <v>-2.0470829068578444E-3</v>
      </c>
    </row>
    <row r="353" spans="1:4" x14ac:dyDescent="0.3">
      <c r="A353" s="1">
        <f>'Raw Data'!A478</f>
        <v>41060</v>
      </c>
      <c r="B353" s="4">
        <f>'Raw Data'!I478</f>
        <v>-8.8951873903431525E-3</v>
      </c>
      <c r="C353">
        <f>'Raw Data'!B478</f>
        <v>14.7</v>
      </c>
      <c r="D353" s="11">
        <f>'Raw Data'!H478</f>
        <v>-1.302346469069271E-2</v>
      </c>
    </row>
    <row r="354" spans="1:4" x14ac:dyDescent="0.3">
      <c r="A354" s="1">
        <f>'Raw Data'!A479</f>
        <v>41089</v>
      </c>
      <c r="B354" s="4">
        <f>'Raw Data'!I479</f>
        <v>-7.9534384891312704E-3</v>
      </c>
      <c r="C354">
        <f>'Raw Data'!B479</f>
        <v>15.3</v>
      </c>
      <c r="D354" s="11">
        <f>'Raw Data'!H479</f>
        <v>-1.1903425042111171E-2</v>
      </c>
    </row>
    <row r="355" spans="1:4" x14ac:dyDescent="0.3">
      <c r="A355" s="1">
        <f>'Raw Data'!A480</f>
        <v>41121</v>
      </c>
      <c r="B355" s="4">
        <f>'Raw Data'!I480</f>
        <v>-9.4851445495329114E-3</v>
      </c>
      <c r="C355">
        <f>'Raw Data'!B480</f>
        <v>15.4</v>
      </c>
      <c r="D355" s="11">
        <f>'Raw Data'!H480</f>
        <v>1.0196078431372602E-2</v>
      </c>
    </row>
    <row r="356" spans="1:4" x14ac:dyDescent="0.3">
      <c r="A356" s="1">
        <f>'Raw Data'!A481</f>
        <v>41152</v>
      </c>
      <c r="B356" s="4">
        <f>'Raw Data'!I481</f>
        <v>-9.0143712971006359E-3</v>
      </c>
      <c r="C356">
        <f>'Raw Data'!B481</f>
        <v>15.9</v>
      </c>
      <c r="D356" s="11">
        <f>'Raw Data'!H481</f>
        <v>2.2297679683078719E-2</v>
      </c>
    </row>
    <row r="357" spans="1:4" x14ac:dyDescent="0.3">
      <c r="A357" s="1">
        <f>'Raw Data'!A482</f>
        <v>41180</v>
      </c>
      <c r="B357" s="4">
        <f>'Raw Data'!I482</f>
        <v>-8.4819368903798591E-3</v>
      </c>
      <c r="C357">
        <f>'Raw Data'!B482</f>
        <v>16.2</v>
      </c>
      <c r="D357" s="11">
        <f>'Raw Data'!H482</f>
        <v>2.0816834483538882E-2</v>
      </c>
    </row>
    <row r="358" spans="1:4" x14ac:dyDescent="0.3">
      <c r="A358" s="1">
        <f>'Raw Data'!A483</f>
        <v>41213</v>
      </c>
      <c r="B358" s="4">
        <f>'Raw Data'!I483</f>
        <v>-7.9214589574207565E-3</v>
      </c>
      <c r="C358">
        <f>'Raw Data'!B483</f>
        <v>16</v>
      </c>
      <c r="D358" s="11">
        <f>'Raw Data'!H483</f>
        <v>3.2608695652174058E-2</v>
      </c>
    </row>
    <row r="359" spans="1:4" x14ac:dyDescent="0.3">
      <c r="A359" s="1">
        <f>'Raw Data'!A484</f>
        <v>41243</v>
      </c>
      <c r="B359" s="4">
        <f>'Raw Data'!I484</f>
        <v>-8.3897229813176613E-3</v>
      </c>
      <c r="C359">
        <f>'Raw Data'!B484</f>
        <v>16.100000000000001</v>
      </c>
      <c r="D359" s="11">
        <f>'Raw Data'!H484</f>
        <v>4.1496134606639368E-2</v>
      </c>
    </row>
    <row r="360" spans="1:4" x14ac:dyDescent="0.3">
      <c r="A360" s="1">
        <f>'Raw Data'!A485</f>
        <v>41274</v>
      </c>
      <c r="B360" s="4">
        <f>'Raw Data'!I485</f>
        <v>-6.7681309713193173E-3</v>
      </c>
      <c r="C360">
        <f>'Raw Data'!B485</f>
        <v>16.2</v>
      </c>
      <c r="D360" s="11">
        <f>'Raw Data'!H485</f>
        <v>4.7478418900499753E-2</v>
      </c>
    </row>
    <row r="361" spans="1:4" x14ac:dyDescent="0.3">
      <c r="A361" s="1">
        <f>'Raw Data'!A486</f>
        <v>41305</v>
      </c>
      <c r="B361" s="4">
        <f>'Raw Data'!I486</f>
        <v>-4.2410948477501834E-3</v>
      </c>
      <c r="C361">
        <f>'Raw Data'!B486</f>
        <v>17.100000000000001</v>
      </c>
      <c r="D361" s="11">
        <f>'Raw Data'!H486</f>
        <v>9.2904252899704387E-2</v>
      </c>
    </row>
    <row r="362" spans="1:4" x14ac:dyDescent="0.3">
      <c r="A362" s="1">
        <f>'Raw Data'!A487</f>
        <v>41333</v>
      </c>
      <c r="B362" s="4">
        <f>'Raw Data'!I487</f>
        <v>-5.2763561663173794E-3</v>
      </c>
      <c r="C362">
        <f>'Raw Data'!B487</f>
        <v>17.5</v>
      </c>
      <c r="D362" s="11">
        <f>'Raw Data'!H487</f>
        <v>0.11960286308012003</v>
      </c>
    </row>
    <row r="363" spans="1:4" x14ac:dyDescent="0.3">
      <c r="A363" s="1">
        <f>'Raw Data'!A488</f>
        <v>41362</v>
      </c>
      <c r="B363" s="4">
        <f>'Raw Data'!I488</f>
        <v>-5.110889246051499E-3</v>
      </c>
      <c r="C363">
        <f>'Raw Data'!B488</f>
        <v>18.2</v>
      </c>
      <c r="D363" s="11">
        <f>'Raw Data'!H488</f>
        <v>0.12218500981637592</v>
      </c>
    </row>
    <row r="364" spans="1:4" x14ac:dyDescent="0.3">
      <c r="A364" s="1">
        <f>'Raw Data'!A489</f>
        <v>41394</v>
      </c>
      <c r="B364" s="4">
        <f>'Raw Data'!I489</f>
        <v>-7.0773289985443175E-3</v>
      </c>
      <c r="C364">
        <f>'Raw Data'!B489</f>
        <v>18.3</v>
      </c>
      <c r="D364" s="11">
        <f>'Raw Data'!H489</f>
        <v>0.10119658119658115</v>
      </c>
    </row>
    <row r="365" spans="1:4" x14ac:dyDescent="0.3">
      <c r="A365" s="1">
        <f>'Raw Data'!A490</f>
        <v>41425</v>
      </c>
      <c r="B365" s="4">
        <f>'Raw Data'!I490</f>
        <v>-2.6975347995930078E-3</v>
      </c>
      <c r="C365">
        <f>'Raw Data'!B490</f>
        <v>18.5</v>
      </c>
      <c r="D365" s="11">
        <f>'Raw Data'!H490</f>
        <v>9.885109771357059E-2</v>
      </c>
    </row>
    <row r="366" spans="1:4" x14ac:dyDescent="0.3">
      <c r="A366" s="1">
        <f>'Raw Data'!A491</f>
        <v>41453</v>
      </c>
      <c r="B366" s="4">
        <f>'Raw Data'!I491</f>
        <v>5.9090293352672199E-4</v>
      </c>
      <c r="C366">
        <f>'Raw Data'!B491</f>
        <v>18.2</v>
      </c>
      <c r="D366" s="11">
        <f>'Raw Data'!H491</f>
        <v>9.6715535856347401E-2</v>
      </c>
    </row>
    <row r="367" spans="1:4" x14ac:dyDescent="0.3">
      <c r="A367" s="1">
        <f>'Raw Data'!A492</f>
        <v>41486</v>
      </c>
      <c r="B367" s="4">
        <f>'Raw Data'!I492</f>
        <v>1.8656722457682656E-3</v>
      </c>
      <c r="C367">
        <f>'Raw Data'!B492</f>
        <v>18.7</v>
      </c>
      <c r="D367" s="11">
        <f>'Raw Data'!H492</f>
        <v>6.2333629103815458E-2</v>
      </c>
    </row>
    <row r="368" spans="1:4" x14ac:dyDescent="0.3">
      <c r="A368" s="1">
        <f>'Raw Data'!A493</f>
        <v>41516</v>
      </c>
      <c r="B368" s="4">
        <f>'Raw Data'!I493</f>
        <v>4.0764643912276945E-3</v>
      </c>
      <c r="C368">
        <f>'Raw Data'!B493</f>
        <v>18.100000000000001</v>
      </c>
      <c r="D368" s="11">
        <f>'Raw Data'!H493</f>
        <v>7.5398582816651905E-2</v>
      </c>
    </row>
    <row r="369" spans="1:4" x14ac:dyDescent="0.3">
      <c r="A369" s="1">
        <f>'Raw Data'!A494</f>
        <v>41547</v>
      </c>
      <c r="B369" s="4">
        <f>'Raw Data'!I494</f>
        <v>2.6302446814908641E-3</v>
      </c>
      <c r="C369">
        <f>'Raw Data'!B494</f>
        <v>18.7</v>
      </c>
      <c r="D369" s="11">
        <f>'Raw Data'!H494</f>
        <v>7.7912002659869195E-2</v>
      </c>
    </row>
    <row r="370" spans="1:4" x14ac:dyDescent="0.3">
      <c r="A370" s="1">
        <f>'Raw Data'!A495</f>
        <v>41578</v>
      </c>
      <c r="B370" s="4">
        <f>'Raw Data'!I495</f>
        <v>1.7448132185435214E-3</v>
      </c>
      <c r="C370">
        <f>'Raw Data'!B495</f>
        <v>19.3</v>
      </c>
      <c r="D370" s="11">
        <f>'Raw Data'!H495</f>
        <v>8.8925438596491269E-2</v>
      </c>
    </row>
    <row r="371" spans="1:4" x14ac:dyDescent="0.3">
      <c r="A371" s="1">
        <f>'Raw Data'!A496</f>
        <v>41607</v>
      </c>
      <c r="B371" s="4">
        <f>'Raw Data'!I496</f>
        <v>3.5915101068973547E-3</v>
      </c>
      <c r="C371">
        <f>'Raw Data'!B496</f>
        <v>19.600000000000001</v>
      </c>
      <c r="D371" s="11">
        <f>'Raw Data'!H496</f>
        <v>0.10708437943455951</v>
      </c>
    </row>
    <row r="372" spans="1:4" x14ac:dyDescent="0.3">
      <c r="A372" s="1">
        <f>'Raw Data'!A497</f>
        <v>41639</v>
      </c>
      <c r="B372" s="4">
        <f>'Raw Data'!I497</f>
        <v>6.2474868833635386E-3</v>
      </c>
      <c r="C372">
        <f>'Raw Data'!B497</f>
        <v>20</v>
      </c>
      <c r="D372" s="11">
        <f>'Raw Data'!H497</f>
        <v>9.9653003686835717E-2</v>
      </c>
    </row>
    <row r="373" spans="1:4" x14ac:dyDescent="0.3">
      <c r="A373" s="1">
        <f>'Raw Data'!A498</f>
        <v>41670</v>
      </c>
      <c r="B373" s="4">
        <f>'Raw Data'!I498</f>
        <v>3.0401660157602754E-3</v>
      </c>
      <c r="C373">
        <f>'Raw Data'!B498</f>
        <v>18.600000000000001</v>
      </c>
      <c r="D373" s="11">
        <f>'Raw Data'!H498</f>
        <v>2.2474248257205343E-2</v>
      </c>
    </row>
    <row r="374" spans="1:4" x14ac:dyDescent="0.3">
      <c r="A374" s="1">
        <f>'Raw Data'!A499</f>
        <v>41698</v>
      </c>
      <c r="B374" s="4">
        <f>'Raw Data'!I499</f>
        <v>3.0870877316125263E-3</v>
      </c>
      <c r="C374">
        <f>'Raw Data'!B499</f>
        <v>19.2</v>
      </c>
      <c r="D374" s="11">
        <f>'Raw Data'!H499</f>
        <v>1.5260878531655919E-2</v>
      </c>
    </row>
    <row r="375" spans="1:4" x14ac:dyDescent="0.3">
      <c r="A375" s="1">
        <f>'Raw Data'!A500</f>
        <v>41729</v>
      </c>
      <c r="B375" s="4">
        <f>'Raw Data'!I500</f>
        <v>3.6873442613689147E-3</v>
      </c>
      <c r="C375">
        <f>'Raw Data'!B500</f>
        <v>19.2</v>
      </c>
      <c r="D375" s="11">
        <f>'Raw Data'!H500</f>
        <v>1.0599979417515781E-2</v>
      </c>
    </row>
    <row r="376" spans="1:4" x14ac:dyDescent="0.3">
      <c r="A376" s="1">
        <f>'Raw Data'!A501</f>
        <v>41759</v>
      </c>
      <c r="B376" s="4">
        <f>'Raw Data'!I501</f>
        <v>2.9307007440640548E-3</v>
      </c>
      <c r="C376">
        <f>'Raw Data'!B501</f>
        <v>19.399999999999999</v>
      </c>
      <c r="D376" s="11">
        <f>'Raw Data'!H501</f>
        <v>1.5937079581910485E-2</v>
      </c>
    </row>
    <row r="377" spans="1:4" x14ac:dyDescent="0.3">
      <c r="A377" s="1">
        <f>'Raw Data'!A502</f>
        <v>41789</v>
      </c>
      <c r="B377" s="4">
        <f>'Raw Data'!I502</f>
        <v>1.4620880233235448E-3</v>
      </c>
      <c r="C377">
        <f>'Raw Data'!B502</f>
        <v>19.8</v>
      </c>
      <c r="D377" s="11">
        <f>'Raw Data'!H502</f>
        <v>7.8674948240167186E-3</v>
      </c>
    </row>
    <row r="378" spans="1:4" x14ac:dyDescent="0.3">
      <c r="A378" s="1">
        <f>'Raw Data'!A503</f>
        <v>41820</v>
      </c>
      <c r="B378" s="4">
        <f>'Raw Data'!I503</f>
        <v>2.2768585889101252E-3</v>
      </c>
      <c r="C378">
        <f>'Raw Data'!B503</f>
        <v>20.3</v>
      </c>
      <c r="D378" s="11">
        <f>'Raw Data'!H503</f>
        <v>7.2538860103628089E-3</v>
      </c>
    </row>
    <row r="379" spans="1:4" x14ac:dyDescent="0.3">
      <c r="A379" s="1">
        <f>'Raw Data'!A504</f>
        <v>41851</v>
      </c>
      <c r="B379" s="4">
        <f>'Raw Data'!I504</f>
        <v>2.5600398561976614E-3</v>
      </c>
      <c r="C379">
        <f>'Raw Data'!B504</f>
        <v>20</v>
      </c>
      <c r="D379" s="11">
        <f>'Raw Data'!H504</f>
        <v>1.5869701399039426E-2</v>
      </c>
    </row>
    <row r="380" spans="1:4" x14ac:dyDescent="0.3">
      <c r="A380" s="1">
        <f>'Raw Data'!A505</f>
        <v>41880</v>
      </c>
      <c r="B380" s="4">
        <f>'Raw Data'!I505</f>
        <v>4.7049437978422329E-4</v>
      </c>
      <c r="C380">
        <f>'Raw Data'!B505</f>
        <v>20.6</v>
      </c>
      <c r="D380" s="11">
        <f>'Raw Data'!H505</f>
        <v>-9.4718418614228028E-3</v>
      </c>
    </row>
    <row r="381" spans="1:4" x14ac:dyDescent="0.3">
      <c r="A381" s="1">
        <f>'Raw Data'!A506</f>
        <v>41912</v>
      </c>
      <c r="B381" s="4">
        <f>'Raw Data'!I506</f>
        <v>2.287020844335047E-3</v>
      </c>
      <c r="C381">
        <f>'Raw Data'!B506</f>
        <v>20.100000000000001</v>
      </c>
      <c r="D381" s="11">
        <f>'Raw Data'!H506</f>
        <v>-1.1001439440674554E-2</v>
      </c>
    </row>
    <row r="382" spans="1:4" x14ac:dyDescent="0.3">
      <c r="A382" s="1">
        <f>'Raw Data'!A507</f>
        <v>41943</v>
      </c>
      <c r="B382" s="4">
        <f>'Raw Data'!I507</f>
        <v>1.2445071538098769E-3</v>
      </c>
      <c r="C382">
        <f>'Raw Data'!B507</f>
        <v>20.2</v>
      </c>
      <c r="D382" s="11">
        <f>'Raw Data'!H507</f>
        <v>-2.6986204813211234E-2</v>
      </c>
    </row>
    <row r="383" spans="1:4" x14ac:dyDescent="0.3">
      <c r="A383" s="1">
        <f>'Raw Data'!A508</f>
        <v>41971</v>
      </c>
      <c r="B383" s="4">
        <f>'Raw Data'!I508</f>
        <v>2.9788604191535728E-4</v>
      </c>
      <c r="C383">
        <f>'Raw Data'!B508</f>
        <v>20.2</v>
      </c>
      <c r="D383" s="11">
        <f>'Raw Data'!H508</f>
        <v>-5.8173930191283807E-2</v>
      </c>
    </row>
    <row r="384" spans="1:4" x14ac:dyDescent="0.3">
      <c r="A384" s="1">
        <f>'Raw Data'!A509</f>
        <v>42004</v>
      </c>
      <c r="B384" s="4">
        <f>'Raw Data'!I509</f>
        <v>5.8339615599884223E-4</v>
      </c>
      <c r="C384">
        <f>'Raw Data'!B509</f>
        <v>20.100000000000001</v>
      </c>
      <c r="D384" s="11">
        <f>'Raw Data'!H509</f>
        <v>-5.6404693817177831E-2</v>
      </c>
    </row>
    <row r="385" spans="1:4" x14ac:dyDescent="0.3">
      <c r="A385" s="1">
        <f>'Raw Data'!A510</f>
        <v>42034</v>
      </c>
      <c r="B385" s="4">
        <f>'Raw Data'!I510</f>
        <v>-4.1274956264249069E-3</v>
      </c>
      <c r="C385">
        <f>'Raw Data'!B510</f>
        <v>20.3</v>
      </c>
      <c r="D385" s="11">
        <f>'Raw Data'!H510</f>
        <v>-9.667243309250062E-3</v>
      </c>
    </row>
    <row r="386" spans="1:4" x14ac:dyDescent="0.3">
      <c r="A386" s="1">
        <f>'Raw Data'!A511</f>
        <v>42062</v>
      </c>
      <c r="B386" s="4">
        <f>'Raw Data'!I511</f>
        <v>-3.9063059499497982E-4</v>
      </c>
      <c r="C386">
        <f>'Raw Data'!B511</f>
        <v>21.3</v>
      </c>
      <c r="D386" s="11">
        <f>'Raw Data'!H511</f>
        <v>-2.0109689213893889E-2</v>
      </c>
    </row>
    <row r="387" spans="1:4" x14ac:dyDescent="0.3">
      <c r="A387" s="1">
        <f>'Raw Data'!A512</f>
        <v>42094</v>
      </c>
      <c r="B387" s="4">
        <f>'Raw Data'!I512</f>
        <v>-9.8458730599094643E-4</v>
      </c>
      <c r="C387">
        <f>'Raw Data'!B512</f>
        <v>21.1</v>
      </c>
      <c r="D387" s="11">
        <f>'Raw Data'!H512</f>
        <v>-1.3543788187372674E-2</v>
      </c>
    </row>
    <row r="388" spans="1:4" x14ac:dyDescent="0.3">
      <c r="A388" s="1">
        <f>'Raw Data'!A513</f>
        <v>42124</v>
      </c>
      <c r="B388" s="4">
        <f>'Raw Data'!I513</f>
        <v>3.0560889347754777E-4</v>
      </c>
      <c r="C388">
        <f>'Raw Data'!B513</f>
        <v>21.1</v>
      </c>
      <c r="D388" s="11">
        <f>'Raw Data'!H513</f>
        <v>-6.8248955892838969E-3</v>
      </c>
    </row>
    <row r="389" spans="1:4" x14ac:dyDescent="0.3">
      <c r="A389" s="1">
        <f>'Raw Data'!A514</f>
        <v>42153</v>
      </c>
      <c r="B389" s="4">
        <f>'Raw Data'!I514</f>
        <v>7.9702903336223777E-4</v>
      </c>
      <c r="C389">
        <f>'Raw Data'!B514</f>
        <v>21.5</v>
      </c>
      <c r="D389" s="11">
        <f>'Raw Data'!H514</f>
        <v>-2.0542317173377622E-3</v>
      </c>
    </row>
    <row r="390" spans="1:4" x14ac:dyDescent="0.3">
      <c r="A390" s="1">
        <f>'Raw Data'!A515</f>
        <v>42185</v>
      </c>
      <c r="B390" s="4">
        <f>'Raw Data'!I515</f>
        <v>2.8276403721847372E-3</v>
      </c>
      <c r="C390">
        <f>'Raw Data'!B515</f>
        <v>21.1</v>
      </c>
      <c r="D390" s="11">
        <f>'Raw Data'!H515</f>
        <v>5.1440329218110925E-4</v>
      </c>
    </row>
    <row r="391" spans="1:4" x14ac:dyDescent="0.3">
      <c r="A391" s="1">
        <f>'Raw Data'!A516</f>
        <v>42216</v>
      </c>
      <c r="B391" s="4">
        <f>'Raw Data'!I516</f>
        <v>1.6761161795426048E-3</v>
      </c>
      <c r="C391">
        <f>'Raw Data'!B516</f>
        <v>21.5</v>
      </c>
      <c r="D391" s="11">
        <f>'Raw Data'!H516</f>
        <v>-3.8026721479957892E-3</v>
      </c>
    </row>
    <row r="392" spans="1:4" x14ac:dyDescent="0.3">
      <c r="A392" s="1">
        <f>'Raw Data'!A517</f>
        <v>42247</v>
      </c>
      <c r="B392" s="4">
        <f>'Raw Data'!I517</f>
        <v>2.5725602917602911E-3</v>
      </c>
      <c r="C392">
        <f>'Raw Data'!B517</f>
        <v>20.399999999999999</v>
      </c>
      <c r="D392" s="11">
        <f>'Raw Data'!H517</f>
        <v>1.4031805425631427E-2</v>
      </c>
    </row>
    <row r="393" spans="1:4" x14ac:dyDescent="0.3">
      <c r="A393" s="1">
        <f>'Raw Data'!A518</f>
        <v>42277</v>
      </c>
      <c r="B393" s="4">
        <f>'Raw Data'!I518</f>
        <v>2.4048965233080186E-3</v>
      </c>
      <c r="C393">
        <f>'Raw Data'!B518</f>
        <v>19.8</v>
      </c>
      <c r="D393" s="11">
        <f>'Raw Data'!H518</f>
        <v>1.4658488408358483E-2</v>
      </c>
    </row>
    <row r="394" spans="1:4" x14ac:dyDescent="0.3">
      <c r="A394" s="1">
        <f>'Raw Data'!A519</f>
        <v>42307</v>
      </c>
      <c r="B394" s="4">
        <f>'Raw Data'!I519</f>
        <v>3.5677187718918466E-3</v>
      </c>
      <c r="C394">
        <f>'Raw Data'!B519</f>
        <v>21.2</v>
      </c>
      <c r="D394" s="11">
        <f>'Raw Data'!H519</f>
        <v>1.0452240505019139E-2</v>
      </c>
    </row>
    <row r="395" spans="1:4" x14ac:dyDescent="0.3">
      <c r="A395" s="1">
        <f>'Raw Data'!A520</f>
        <v>42338</v>
      </c>
      <c r="B395" s="4">
        <f>'Raw Data'!I520</f>
        <v>3.5534596687726433E-3</v>
      </c>
      <c r="C395">
        <f>'Raw Data'!B520</f>
        <v>21.4</v>
      </c>
      <c r="D395" s="11">
        <f>'Raw Data'!H520</f>
        <v>2.9313232830820768E-2</v>
      </c>
    </row>
    <row r="396" spans="1:4" x14ac:dyDescent="0.3">
      <c r="A396" s="1">
        <f>'Raw Data'!A521</f>
        <v>42369</v>
      </c>
      <c r="B396" s="4">
        <f>'Raw Data'!I521</f>
        <v>4.3330606971107646E-3</v>
      </c>
      <c r="C396">
        <f>'Raw Data'!B521</f>
        <v>21.1</v>
      </c>
      <c r="D396" s="11">
        <f>'Raw Data'!H521</f>
        <v>2.7275577385306615E-2</v>
      </c>
    </row>
    <row r="397" spans="1:4" x14ac:dyDescent="0.3">
      <c r="A397" s="1">
        <f>'Raw Data'!A522</f>
        <v>42398</v>
      </c>
      <c r="B397" s="4">
        <f>'Raw Data'!I522</f>
        <v>1.5445949663978192E-3</v>
      </c>
      <c r="C397">
        <f>'Raw Data'!B522</f>
        <v>19.600000000000001</v>
      </c>
      <c r="D397" s="11">
        <f>'Raw Data'!H522</f>
        <v>1.3049732840115125E-2</v>
      </c>
    </row>
    <row r="398" spans="1:4" x14ac:dyDescent="0.3">
      <c r="A398" s="1">
        <f>'Raw Data'!A523</f>
        <v>42429</v>
      </c>
      <c r="B398" s="4">
        <f>'Raw Data'!I523</f>
        <v>-1.6894994333535585E-4</v>
      </c>
      <c r="C398">
        <f>'Raw Data'!B523</f>
        <v>19.7</v>
      </c>
      <c r="D398" s="11">
        <f>'Raw Data'!H523</f>
        <v>4.0526533996683156E-2</v>
      </c>
    </row>
    <row r="399" spans="1:4" x14ac:dyDescent="0.3">
      <c r="A399" s="1">
        <f>'Raw Data'!A524</f>
        <v>42460</v>
      </c>
      <c r="B399" s="4">
        <f>'Raw Data'!I524</f>
        <v>1.0552797689392795E-4</v>
      </c>
      <c r="C399">
        <f>'Raw Data'!B524</f>
        <v>20.9</v>
      </c>
      <c r="D399" s="11">
        <f>'Raw Data'!H524</f>
        <v>3.5511510271497793E-2</v>
      </c>
    </row>
    <row r="400" spans="1:4" x14ac:dyDescent="0.3">
      <c r="A400" s="1">
        <f>'Raw Data'!A525</f>
        <v>42489</v>
      </c>
      <c r="B400" s="4">
        <f>'Raw Data'!I525</f>
        <v>5.7476776451122202E-4</v>
      </c>
      <c r="C400">
        <f>'Raw Data'!B525</f>
        <v>20.9</v>
      </c>
      <c r="D400" s="11">
        <f>'Raw Data'!H525</f>
        <v>2.6358974358974274E-2</v>
      </c>
    </row>
    <row r="401" spans="1:4" x14ac:dyDescent="0.3">
      <c r="A401" s="1">
        <f>'Raw Data'!A526</f>
        <v>42521</v>
      </c>
      <c r="B401" s="4">
        <f>'Raw Data'!I526</f>
        <v>7.8824167725597555E-4</v>
      </c>
      <c r="C401">
        <f>'Raw Data'!B526</f>
        <v>21.3</v>
      </c>
      <c r="D401" s="11">
        <f>'Raw Data'!H526</f>
        <v>5.7739810621654897E-2</v>
      </c>
    </row>
    <row r="402" spans="1:4" x14ac:dyDescent="0.3">
      <c r="A402" s="1">
        <f>'Raw Data'!A527</f>
        <v>42551</v>
      </c>
      <c r="B402" s="4">
        <f>'Raw Data'!I527</f>
        <v>-2.6614037167956191E-3</v>
      </c>
      <c r="C402">
        <f>'Raw Data'!B527</f>
        <v>21.4</v>
      </c>
      <c r="D402" s="11">
        <f>'Raw Data'!H527</f>
        <v>5.542416452442156E-2</v>
      </c>
    </row>
    <row r="403" spans="1:4" x14ac:dyDescent="0.3">
      <c r="A403" s="1">
        <f>'Raw Data'!A528</f>
        <v>42580</v>
      </c>
      <c r="B403" s="4">
        <f>'Raw Data'!I528</f>
        <v>-2.3971432483458725E-3</v>
      </c>
      <c r="C403">
        <f>'Raw Data'!B528</f>
        <v>22.1</v>
      </c>
      <c r="D403" s="11">
        <f>'Raw Data'!H528</f>
        <v>6.6852367688022163E-2</v>
      </c>
    </row>
    <row r="404" spans="1:4" x14ac:dyDescent="0.3">
      <c r="A404" s="1">
        <f>'Raw Data'!A529</f>
        <v>42613</v>
      </c>
      <c r="B404" s="4">
        <f>'Raw Data'!I529</f>
        <v>-1.0349637432899572E-3</v>
      </c>
      <c r="C404">
        <f>'Raw Data'!B529</f>
        <v>21.9</v>
      </c>
      <c r="D404" s="11">
        <f>'Raw Data'!H529</f>
        <v>7.7695776957769525E-2</v>
      </c>
    </row>
    <row r="405" spans="1:4" x14ac:dyDescent="0.3">
      <c r="A405" s="1">
        <f>'Raw Data'!A530</f>
        <v>42643</v>
      </c>
      <c r="B405" s="4">
        <f>'Raw Data'!I530</f>
        <v>-1.421715928556961E-3</v>
      </c>
      <c r="C405">
        <f>'Raw Data'!B530</f>
        <v>21.9</v>
      </c>
      <c r="D405" s="11">
        <f>'Raw Data'!H530</f>
        <v>8.2377049180327955E-2</v>
      </c>
    </row>
    <row r="406" spans="1:4" x14ac:dyDescent="0.3">
      <c r="A406" s="1">
        <f>'Raw Data'!A531</f>
        <v>42674</v>
      </c>
      <c r="B406" s="4">
        <f>'Raw Data'!I531</f>
        <v>1.6741416511532187E-4</v>
      </c>
      <c r="C406">
        <f>'Raw Data'!B531</f>
        <v>21.4</v>
      </c>
      <c r="D406" s="11">
        <f>'Raw Data'!H531</f>
        <v>8.6952068824252216E-2</v>
      </c>
    </row>
    <row r="407" spans="1:4" x14ac:dyDescent="0.3">
      <c r="A407" s="1">
        <f>'Raw Data'!A532</f>
        <v>42704</v>
      </c>
      <c r="B407" s="4">
        <f>'Raw Data'!I532</f>
        <v>5.427862332329312E-3</v>
      </c>
      <c r="C407">
        <f>'Raw Data'!B532</f>
        <v>21.9</v>
      </c>
      <c r="D407" s="11">
        <f>'Raw Data'!H532</f>
        <v>8.1061838893409455E-2</v>
      </c>
    </row>
    <row r="408" spans="1:4" x14ac:dyDescent="0.3">
      <c r="A408" s="1">
        <f>'Raw Data'!A533</f>
        <v>42734</v>
      </c>
      <c r="B408" s="4">
        <f>'Raw Data'!I533</f>
        <v>6.3740696912214408E-3</v>
      </c>
      <c r="C408">
        <f>'Raw Data'!B533</f>
        <v>22.3</v>
      </c>
      <c r="D408" s="11">
        <f>'Raw Data'!H533</f>
        <v>8.6164801627670373E-2</v>
      </c>
    </row>
    <row r="409" spans="1:4" x14ac:dyDescent="0.3">
      <c r="A409" s="1">
        <f>'Raw Data'!A534</f>
        <v>42766</v>
      </c>
      <c r="B409" s="4">
        <f>'Raw Data'!I534</f>
        <v>6.3220732117112675E-3</v>
      </c>
      <c r="C409">
        <f>'Raw Data'!B534</f>
        <v>22.7</v>
      </c>
      <c r="D409" s="11">
        <f>'Raw Data'!H534</f>
        <v>7.5768333502383545E-2</v>
      </c>
    </row>
    <row r="410" spans="1:4" x14ac:dyDescent="0.3">
      <c r="A410" s="1">
        <f>'Raw Data'!A535</f>
        <v>42794</v>
      </c>
      <c r="B410" s="4">
        <f>'Raw Data'!I535</f>
        <v>5.624138495382857E-3</v>
      </c>
      <c r="C410">
        <f>'Raw Data'!B535</f>
        <v>23.1</v>
      </c>
      <c r="D410" s="11">
        <f>'Raw Data'!H535</f>
        <v>5.4188664209582571E-2</v>
      </c>
    </row>
    <row r="411" spans="1:4" x14ac:dyDescent="0.3">
      <c r="A411" s="1">
        <f>'Raw Data'!A536</f>
        <v>42825</v>
      </c>
      <c r="B411" s="4">
        <f>'Raw Data'!I536</f>
        <v>6.5695238182360283E-3</v>
      </c>
      <c r="C411">
        <f>'Raw Data'!B536</f>
        <v>23</v>
      </c>
      <c r="D411" s="11">
        <f>'Raw Data'!H536</f>
        <v>7.7260492473332665E-2</v>
      </c>
    </row>
    <row r="412" spans="1:4" x14ac:dyDescent="0.3">
      <c r="A412" s="1">
        <f>'Raw Data'!A537</f>
        <v>42853</v>
      </c>
      <c r="B412" s="4">
        <f>'Raw Data'!I537</f>
        <v>5.6188495636956756E-3</v>
      </c>
      <c r="C412">
        <f>'Raw Data'!B537</f>
        <v>23.3</v>
      </c>
      <c r="D412" s="11">
        <f>'Raw Data'!H537</f>
        <v>0.11312081542919961</v>
      </c>
    </row>
    <row r="413" spans="1:4" x14ac:dyDescent="0.3">
      <c r="A413" s="1">
        <f>'Raw Data'!A538</f>
        <v>42886</v>
      </c>
      <c r="B413" s="4">
        <f>'Raw Data'!I538</f>
        <v>5.2770293809166757E-3</v>
      </c>
      <c r="C413">
        <f>'Raw Data'!B538</f>
        <v>22.9</v>
      </c>
      <c r="D413" s="11">
        <f>'Raw Data'!H538</f>
        <v>9.5553176997178246E-2</v>
      </c>
    </row>
    <row r="414" spans="1:4" x14ac:dyDescent="0.3">
      <c r="A414" s="1">
        <f>'Raw Data'!A539</f>
        <v>42916</v>
      </c>
      <c r="B414" s="4">
        <f>'Raw Data'!I539</f>
        <v>6.4860580312346566E-3</v>
      </c>
      <c r="C414">
        <f>'Raw Data'!B539</f>
        <v>23.1</v>
      </c>
      <c r="D414" s="11">
        <f>'Raw Data'!H539</f>
        <v>9.9181605611847079E-2</v>
      </c>
    </row>
    <row r="415" spans="1:4" x14ac:dyDescent="0.3">
      <c r="A415" s="1">
        <f>'Raw Data'!A540</f>
        <v>42947</v>
      </c>
      <c r="B415" s="4">
        <f>'Raw Data'!I540</f>
        <v>6.5335887036805408E-3</v>
      </c>
      <c r="C415">
        <f>'Raw Data'!B540</f>
        <v>23.3</v>
      </c>
      <c r="D415" s="11">
        <f>'Raw Data'!H540</f>
        <v>0.12822744415433718</v>
      </c>
    </row>
    <row r="416" spans="1:4" x14ac:dyDescent="0.3">
      <c r="A416" s="1">
        <f>'Raw Data'!A541</f>
        <v>42978</v>
      </c>
      <c r="B416" s="4">
        <f>'Raw Data'!I541</f>
        <v>4.4744353391419182E-3</v>
      </c>
      <c r="C416">
        <f>'Raw Data'!B541</f>
        <v>22.9</v>
      </c>
      <c r="D416" s="11">
        <f>'Raw Data'!H541</f>
        <v>0.12887578466806171</v>
      </c>
    </row>
    <row r="417" spans="1:4" x14ac:dyDescent="0.3">
      <c r="A417" s="1">
        <f>'Raw Data'!A542</f>
        <v>43007</v>
      </c>
      <c r="B417" s="4">
        <f>'Raw Data'!I542</f>
        <v>6.4265037587811179E-3</v>
      </c>
      <c r="C417">
        <f>'Raw Data'!B542</f>
        <v>23.2</v>
      </c>
      <c r="D417" s="11">
        <f>'Raw Data'!H542</f>
        <v>0.13555471412343811</v>
      </c>
    </row>
    <row r="418" spans="1:4" x14ac:dyDescent="0.3">
      <c r="A418" s="1">
        <f>'Raw Data'!A543</f>
        <v>43039</v>
      </c>
      <c r="B418" s="4">
        <f>'Raw Data'!I543</f>
        <v>7.1607290172357417E-3</v>
      </c>
      <c r="C418">
        <f>'Raw Data'!B543</f>
        <v>23.5</v>
      </c>
      <c r="D418" s="11">
        <f>'Raw Data'!H543</f>
        <v>0.16376142466786026</v>
      </c>
    </row>
    <row r="419" spans="1:4" x14ac:dyDescent="0.3">
      <c r="A419" s="1">
        <f>'Raw Data'!A544</f>
        <v>43069</v>
      </c>
      <c r="B419" s="4">
        <f>'Raw Data'!I544</f>
        <v>8.0755358362073447E-3</v>
      </c>
      <c r="C419">
        <f>'Raw Data'!B544</f>
        <v>24.1</v>
      </c>
      <c r="D419" s="11">
        <f>'Raw Data'!H544</f>
        <v>0.2007714742685105</v>
      </c>
    </row>
    <row r="420" spans="1:4" x14ac:dyDescent="0.3">
      <c r="A420" s="1">
        <f>'Raw Data'!A545</f>
        <v>43098</v>
      </c>
      <c r="B420" s="4">
        <f>'Raw Data'!I545</f>
        <v>8.115716243325112E-3</v>
      </c>
      <c r="C420">
        <f>'Raw Data'!B545</f>
        <v>24.3</v>
      </c>
      <c r="D420" s="11">
        <f>'Raw Data'!H545</f>
        <v>0.1948112765758172</v>
      </c>
    </row>
    <row r="421" spans="1:4" x14ac:dyDescent="0.3">
      <c r="A421" s="1">
        <f>'Raw Data'!A546</f>
        <v>43131</v>
      </c>
      <c r="B421" s="4">
        <f>'Raw Data'!I546</f>
        <v>1.1124174442043722E-2</v>
      </c>
      <c r="C421">
        <f>'Raw Data'!B546</f>
        <v>25.7</v>
      </c>
      <c r="D421" s="11">
        <f>'Raw Data'!H546</f>
        <v>0.21695266830096172</v>
      </c>
    </row>
    <row r="422" spans="1:4" x14ac:dyDescent="0.3">
      <c r="A422" s="1">
        <f>'Raw Data'!A547</f>
        <v>43159</v>
      </c>
      <c r="B422" s="4">
        <f>'Raw Data'!I547</f>
        <v>1.2576357842609867E-2</v>
      </c>
      <c r="C422">
        <f>'Raw Data'!B547</f>
        <v>24.6</v>
      </c>
      <c r="D422" s="11">
        <f>'Raw Data'!H547</f>
        <v>0.22592837569687241</v>
      </c>
    </row>
    <row r="423" spans="1:4" x14ac:dyDescent="0.3">
      <c r="A423" s="1">
        <f>'Raw Data'!A548</f>
        <v>43189</v>
      </c>
      <c r="B423" s="4">
        <f>'Raw Data'!I548</f>
        <v>1.1679671530047436E-2</v>
      </c>
      <c r="C423">
        <f>'Raw Data'!B548</f>
        <v>23.6</v>
      </c>
      <c r="D423" s="11">
        <f>'Raw Data'!H548</f>
        <v>0.17925226725893029</v>
      </c>
    </row>
    <row r="424" spans="1:4" x14ac:dyDescent="0.3">
      <c r="A424" s="1">
        <f>'Raw Data'!A549</f>
        <v>43220</v>
      </c>
      <c r="B424" s="4">
        <f>'Raw Data'!I549</f>
        <v>1.3570283726351776E-2</v>
      </c>
      <c r="C424">
        <f>'Raw Data'!B549</f>
        <v>22.9</v>
      </c>
      <c r="D424" s="11">
        <f>'Raw Data'!H549</f>
        <v>0.14337014094622491</v>
      </c>
    </row>
    <row r="425" spans="1:4" x14ac:dyDescent="0.3">
      <c r="A425" s="1">
        <f>'Raw Data'!A550</f>
        <v>43251</v>
      </c>
      <c r="B425" s="4">
        <f>'Raw Data'!I550</f>
        <v>1.2800435826182267E-2</v>
      </c>
      <c r="C425">
        <f>'Raw Data'!B550</f>
        <v>23.1</v>
      </c>
      <c r="D425" s="11">
        <f>'Raw Data'!H550</f>
        <v>0.13695710098587788</v>
      </c>
    </row>
    <row r="426" spans="1:4" x14ac:dyDescent="0.3">
      <c r="A426" s="1">
        <f>'Raw Data'!A551</f>
        <v>43280</v>
      </c>
      <c r="B426" s="4">
        <f>'Raw Data'!I551</f>
        <v>1.4056957505316624E-2</v>
      </c>
      <c r="C426">
        <f>'Raw Data'!B551</f>
        <v>23.2</v>
      </c>
      <c r="D426" s="11">
        <f>'Raw Data'!H551</f>
        <v>0.13641198369083507</v>
      </c>
    </row>
    <row r="427" spans="1:4" x14ac:dyDescent="0.3">
      <c r="A427" s="1">
        <f>'Raw Data'!A552</f>
        <v>43312</v>
      </c>
      <c r="B427" s="4">
        <f>'Raw Data'!I552</f>
        <v>1.5829465706053703E-2</v>
      </c>
      <c r="C427">
        <f>'Raw Data'!B552</f>
        <v>23.2</v>
      </c>
      <c r="D427" s="11">
        <f>'Raw Data'!H552</f>
        <v>0.10431130539127453</v>
      </c>
    </row>
    <row r="428" spans="1:4" x14ac:dyDescent="0.3">
      <c r="A428" s="1">
        <f>'Raw Data'!A553</f>
        <v>43343</v>
      </c>
      <c r="B428" s="4">
        <f>'Raw Data'!I553</f>
        <v>1.4387356940774036E-2</v>
      </c>
      <c r="C428">
        <f>'Raw Data'!B553</f>
        <v>23.5</v>
      </c>
      <c r="D428" s="11">
        <f>'Raw Data'!H553</f>
        <v>9.6891060746482349E-2</v>
      </c>
    </row>
    <row r="429" spans="1:4" x14ac:dyDescent="0.3">
      <c r="A429" s="1">
        <f>'Raw Data'!A554</f>
        <v>43371</v>
      </c>
      <c r="B429" s="4">
        <f>'Raw Data'!I554</f>
        <v>1.6295101591338259E-2</v>
      </c>
      <c r="C429">
        <f>'Raw Data'!B554</f>
        <v>23.3</v>
      </c>
      <c r="D429" s="11">
        <f>'Raw Data'!H554</f>
        <v>8.8779593197732654E-2</v>
      </c>
    </row>
    <row r="430" spans="1:4" x14ac:dyDescent="0.3">
      <c r="A430" s="1">
        <f>'Raw Data'!A555</f>
        <v>43404</v>
      </c>
      <c r="B430" s="4">
        <f>'Raw Data'!I555</f>
        <v>1.6211592298855042E-2</v>
      </c>
      <c r="C430">
        <f>'Raw Data'!B555</f>
        <v>21.1</v>
      </c>
      <c r="D430" s="11">
        <f>'Raw Data'!H555</f>
        <v>4.5988179094810011E-2</v>
      </c>
    </row>
    <row r="431" spans="1:4" x14ac:dyDescent="0.3">
      <c r="A431" s="1">
        <f>'Raw Data'!A556</f>
        <v>43434</v>
      </c>
      <c r="B431" s="4">
        <f>'Raw Data'!I556</f>
        <v>1.3007742306603075E-2</v>
      </c>
      <c r="C431">
        <f>'Raw Data'!B556</f>
        <v>20.7</v>
      </c>
      <c r="D431" s="11">
        <f>'Raw Data'!H556</f>
        <v>8.3836088693880484E-3</v>
      </c>
    </row>
    <row r="432" spans="1:4" x14ac:dyDescent="0.3">
      <c r="A432" s="1">
        <f>'Raw Data'!A557</f>
        <v>43465</v>
      </c>
      <c r="B432" s="4">
        <f>'Raw Data'!I557</f>
        <v>8.8767798946238867E-3</v>
      </c>
      <c r="C432">
        <f>'Raw Data'!B557</f>
        <v>18.8</v>
      </c>
      <c r="D432" s="11">
        <f>'Raw Data'!H557</f>
        <v>8.0739985890099231E-3</v>
      </c>
    </row>
    <row r="433" spans="1:4" x14ac:dyDescent="0.3">
      <c r="A433" s="1">
        <f>'Raw Data'!A558</f>
        <v>43496</v>
      </c>
      <c r="B433" s="4">
        <f>'Raw Data'!I558</f>
        <v>8.6570399608024845E-3</v>
      </c>
      <c r="C433">
        <f>'Raw Data'!B558</f>
        <v>20.2</v>
      </c>
      <c r="D433" s="11">
        <f>'Raw Data'!H558</f>
        <v>6.5080963818082704E-3</v>
      </c>
    </row>
    <row r="434" spans="1:4" x14ac:dyDescent="0.3">
      <c r="A434" s="1">
        <f>'Raw Data'!A559</f>
        <v>43524</v>
      </c>
      <c r="B434" s="4">
        <f>'Raw Data'!I559</f>
        <v>9.4820971465614835E-3</v>
      </c>
      <c r="C434">
        <f>'Raw Data'!B559</f>
        <v>20.7</v>
      </c>
      <c r="D434" s="11">
        <f>'Raw Data'!H559</f>
        <v>9.4034222290735325E-3</v>
      </c>
    </row>
    <row r="435" spans="1:4" x14ac:dyDescent="0.3">
      <c r="A435" s="1">
        <f>'Raw Data'!A560</f>
        <v>43553</v>
      </c>
      <c r="B435" s="4">
        <f>'Raw Data'!I560</f>
        <v>6.0273435135346845E-3</v>
      </c>
      <c r="C435">
        <f>'Raw Data'!B560</f>
        <v>21.4</v>
      </c>
      <c r="D435" s="11">
        <f>'Raw Data'!H560</f>
        <v>2.6759789688456381E-2</v>
      </c>
    </row>
    <row r="436" spans="1:4" x14ac:dyDescent="0.3">
      <c r="A436" s="1">
        <f>'Raw Data'!A561</f>
        <v>43585</v>
      </c>
      <c r="B436" s="4">
        <f>'Raw Data'!I561</f>
        <v>6.6777259179949464E-3</v>
      </c>
      <c r="C436">
        <f>'Raw Data'!B561</f>
        <v>22.2</v>
      </c>
      <c r="D436" s="11">
        <f>'Raw Data'!H561</f>
        <v>-4.4755025125627901E-3</v>
      </c>
    </row>
    <row r="437" spans="1:4" x14ac:dyDescent="0.3">
      <c r="A437" s="1">
        <f>'Raw Data'!A562</f>
        <v>43616</v>
      </c>
      <c r="B437" s="4">
        <f>'Raw Data'!I562</f>
        <v>3.1523297411881791E-3</v>
      </c>
      <c r="C437">
        <f>'Raw Data'!B562</f>
        <v>20.7</v>
      </c>
      <c r="D437" s="11">
        <f>'Raw Data'!H562</f>
        <v>-5.5073822357628255E-2</v>
      </c>
    </row>
    <row r="438" spans="1:4" x14ac:dyDescent="0.3">
      <c r="A438" s="1">
        <f>'Raw Data'!A563</f>
        <v>43644</v>
      </c>
      <c r="B438" s="4">
        <f>'Raw Data'!I563</f>
        <v>2.6066995639985983E-3</v>
      </c>
      <c r="C438">
        <f>'Raw Data'!B563</f>
        <v>22</v>
      </c>
      <c r="D438" s="11">
        <f>'Raw Data'!H563</f>
        <v>-6.1071679276187618E-2</v>
      </c>
    </row>
    <row r="439" spans="1:4" x14ac:dyDescent="0.3">
      <c r="A439" s="1">
        <f>'Raw Data'!A564</f>
        <v>43677</v>
      </c>
      <c r="B439" s="4">
        <f>'Raw Data'!I564</f>
        <v>2.5518145202749129E-3</v>
      </c>
      <c r="C439">
        <f>'Raw Data'!B564</f>
        <v>22.3</v>
      </c>
      <c r="D439" s="11">
        <f>'Raw Data'!H564</f>
        <v>-0.12814343371623726</v>
      </c>
    </row>
    <row r="440" spans="1:4" x14ac:dyDescent="0.3">
      <c r="A440" s="1">
        <f>'Raw Data'!A565</f>
        <v>43707</v>
      </c>
      <c r="B440" s="4">
        <f>'Raw Data'!I565</f>
        <v>-2.3510763898733807E-3</v>
      </c>
      <c r="C440">
        <f>'Raw Data'!B565</f>
        <v>21.6</v>
      </c>
      <c r="D440" s="11">
        <f>'Raw Data'!H565</f>
        <v>-0.17843152315846078</v>
      </c>
    </row>
    <row r="441" spans="1:4" x14ac:dyDescent="0.3">
      <c r="A441" s="1">
        <f>'Raw Data'!A566</f>
        <v>43738</v>
      </c>
      <c r="B441" s="4">
        <f>'Raw Data'!I566</f>
        <v>-6.4125954759810394E-4</v>
      </c>
      <c r="C441">
        <f>'Raw Data'!B566</f>
        <v>21.8</v>
      </c>
      <c r="D441" s="11">
        <f>'Raw Data'!H566</f>
        <v>-0.18069060561978412</v>
      </c>
    </row>
    <row r="442" spans="1:4" x14ac:dyDescent="0.3">
      <c r="A442" s="1">
        <f>'Raw Data'!A567</f>
        <v>43769</v>
      </c>
      <c r="B442" s="4">
        <f>'Raw Data'!I567</f>
        <v>-4.4354300091218463E-4</v>
      </c>
      <c r="C442">
        <f>'Raw Data'!B567</f>
        <v>22.5</v>
      </c>
      <c r="D442" s="11">
        <f>'Raw Data'!H567</f>
        <v>-0.17509095131202113</v>
      </c>
    </row>
    <row r="443" spans="1:4" x14ac:dyDescent="0.3">
      <c r="A443" s="1">
        <f>'Raw Data'!A568</f>
        <v>43798</v>
      </c>
      <c r="B443" s="4">
        <f>'Raw Data'!I568</f>
        <v>4.6053093642317924E-4</v>
      </c>
      <c r="C443">
        <f>'Raw Data'!B568</f>
        <v>23.3</v>
      </c>
      <c r="D443" s="11">
        <f>'Raw Data'!H568</f>
        <v>-0.16511266511266498</v>
      </c>
    </row>
    <row r="444" spans="1:4" x14ac:dyDescent="0.3">
      <c r="A444" s="1">
        <f>'Raw Data'!A569</f>
        <v>43830</v>
      </c>
      <c r="B444" s="4">
        <f>'Raw Data'!I569</f>
        <v>1.5575764039973336E-3</v>
      </c>
      <c r="C444">
        <f>'Raw Data'!B569</f>
        <v>23.9</v>
      </c>
      <c r="D444" s="11">
        <f>'Raw Data'!H569</f>
        <v>-0.16096423017107298</v>
      </c>
    </row>
    <row r="445" spans="1:4" x14ac:dyDescent="0.3">
      <c r="A445" s="1">
        <f>'Raw Data'!A570</f>
        <v>43861</v>
      </c>
      <c r="B445" s="4">
        <f>'Raw Data'!I570</f>
        <v>-2.4817918086422024E-3</v>
      </c>
      <c r="C445">
        <f>'Raw Data'!B570</f>
        <v>23.7</v>
      </c>
      <c r="D445" s="11">
        <f>'Raw Data'!H570</f>
        <v>-0.16080363328458169</v>
      </c>
    </row>
    <row r="446" spans="1:4" x14ac:dyDescent="0.3">
      <c r="A446" s="1">
        <f>'Raw Data'!A571</f>
        <v>43889</v>
      </c>
      <c r="B446" s="4">
        <f>'Raw Data'!I571</f>
        <v>-6.5570023553925202E-3</v>
      </c>
      <c r="C446">
        <f>'Raw Data'!B571</f>
        <v>21.6</v>
      </c>
      <c r="D446" s="11">
        <f>'Raw Data'!H571</f>
        <v>-0.15997251069028717</v>
      </c>
    </row>
    <row r="447" spans="1:4" x14ac:dyDescent="0.3">
      <c r="A447" s="1">
        <f>'Raw Data'!A572</f>
        <v>43921</v>
      </c>
      <c r="B447" s="4">
        <f>'Raw Data'!I572</f>
        <v>-1.0331441557855755E-2</v>
      </c>
      <c r="C447">
        <f>'Raw Data'!B572</f>
        <v>18.7</v>
      </c>
      <c r="D447" s="11">
        <f>'Raw Data'!H572</f>
        <v>-0.15667991439926632</v>
      </c>
    </row>
    <row r="448" spans="1:4" x14ac:dyDescent="0.3">
      <c r="A448" s="1">
        <f>'Raw Data'!A573</f>
        <v>43951</v>
      </c>
      <c r="B448" s="4">
        <f>'Raw Data'!I573</f>
        <v>-1.0239440832271107E-2</v>
      </c>
      <c r="C448">
        <f>'Raw Data'!B573</f>
        <v>21.8</v>
      </c>
      <c r="D448" s="11">
        <f>'Raw Data'!H573</f>
        <v>-4.6927991166495819E-2</v>
      </c>
    </row>
    <row r="449" spans="1:4" x14ac:dyDescent="0.3">
      <c r="A449" s="1">
        <f>'Raw Data'!A574</f>
        <v>43980</v>
      </c>
      <c r="B449" s="4">
        <f>'Raw Data'!I574</f>
        <v>-1.0010934727622045E-2</v>
      </c>
      <c r="C449">
        <f>'Raw Data'!B574</f>
        <v>24.1</v>
      </c>
      <c r="D449" s="11">
        <f>'Raw Data'!H574</f>
        <v>9.5568783068783247E-2</v>
      </c>
    </row>
    <row r="450" spans="1:4" x14ac:dyDescent="0.3">
      <c r="A450" s="1">
        <f>'Raw Data'!A575</f>
        <v>44012</v>
      </c>
      <c r="B450" s="4">
        <f>'Raw Data'!I575</f>
        <v>-1.0455186588157174E-2</v>
      </c>
      <c r="C450">
        <f>'Raw Data'!B575</f>
        <v>24.7</v>
      </c>
      <c r="D450" s="11">
        <f>'Raw Data'!H575</f>
        <v>0.10965276624023934</v>
      </c>
    </row>
    <row r="451" spans="1:4" x14ac:dyDescent="0.3">
      <c r="A451" s="1">
        <f>'Raw Data'!A576</f>
        <v>44043</v>
      </c>
      <c r="B451" s="4">
        <f>'Raw Data'!I576</f>
        <v>-1.1952300788308032E-2</v>
      </c>
      <c r="C451">
        <f>'Raw Data'!B576</f>
        <v>28</v>
      </c>
      <c r="D451" s="11">
        <f>'Raw Data'!H576</f>
        <v>0.29733819994658583</v>
      </c>
    </row>
    <row r="452" spans="1:4" x14ac:dyDescent="0.3">
      <c r="A452" s="1">
        <f>'Raw Data'!A577</f>
        <v>44074</v>
      </c>
      <c r="B452" s="4">
        <f>'Raw Data'!I577</f>
        <v>-1.0612656783289702E-2</v>
      </c>
      <c r="C452">
        <f>'Raw Data'!B577</f>
        <v>31.5</v>
      </c>
      <c r="D452" s="11">
        <f>'Raw Data'!H577</f>
        <v>0.46148092744951397</v>
      </c>
    </row>
    <row r="453" spans="1:4" x14ac:dyDescent="0.3">
      <c r="A453" s="1">
        <f>'Raw Data'!A578</f>
        <v>44104</v>
      </c>
      <c r="B453" s="4">
        <f>'Raw Data'!I578</f>
        <v>-1.0875306672426251E-2</v>
      </c>
      <c r="C453">
        <f>'Raw Data'!B578</f>
        <v>30.3</v>
      </c>
      <c r="D453" s="11">
        <f>'Raw Data'!H578</f>
        <v>0.46649845808802914</v>
      </c>
    </row>
    <row r="454" spans="1:4" x14ac:dyDescent="0.3">
      <c r="A454" s="1">
        <f>'Raw Data'!A579</f>
        <v>44134</v>
      </c>
      <c r="B454" s="4">
        <f>'Raw Data'!I579</f>
        <v>-8.8275740655460039E-3</v>
      </c>
      <c r="C454">
        <f>'Raw Data'!B579</f>
        <v>29.7</v>
      </c>
      <c r="D454" s="11">
        <f>'Raw Data'!H579</f>
        <v>0.52266116167777077</v>
      </c>
    </row>
    <row r="455" spans="1:4" x14ac:dyDescent="0.3">
      <c r="A455" s="1">
        <f>'Raw Data'!A580</f>
        <v>44165</v>
      </c>
      <c r="B455" s="4">
        <f>'Raw Data'!I580</f>
        <v>-8.9712145527450597E-3</v>
      </c>
      <c r="C455">
        <f>'Raw Data'!B580</f>
        <v>32.9</v>
      </c>
      <c r="D455" s="11">
        <f>'Raw Data'!H580</f>
        <v>0.55691019078641224</v>
      </c>
    </row>
    <row r="456" spans="1:4" x14ac:dyDescent="0.3">
      <c r="A456" s="1">
        <f>'Raw Data'!A581</f>
        <v>44196</v>
      </c>
      <c r="B456" s="4">
        <f>'Raw Data'!I581</f>
        <v>-8.3046221894087675E-3</v>
      </c>
      <c r="C456">
        <f>'Raw Data'!B581</f>
        <v>34.1</v>
      </c>
      <c r="D456" s="11">
        <f>'Raw Data'!H581</f>
        <v>0.55273401297497671</v>
      </c>
    </row>
    <row r="457" spans="1:4" x14ac:dyDescent="0.3">
      <c r="A457" s="1">
        <f>'Raw Data'!A582</f>
        <v>44225</v>
      </c>
      <c r="B457" s="4">
        <f>'Raw Data'!I582</f>
        <v>-6.3855732026971198E-3</v>
      </c>
      <c r="C457">
        <f>'Raw Data'!B582</f>
        <v>33.5</v>
      </c>
      <c r="D457" s="11">
        <f>'Raw Data'!H582</f>
        <v>0.58732342689414807</v>
      </c>
    </row>
    <row r="458" spans="1:4" x14ac:dyDescent="0.3">
      <c r="A458" s="1">
        <f>'Raw Data'!A583</f>
        <v>44253</v>
      </c>
      <c r="B458" s="4">
        <f>'Raw Data'!I583</f>
        <v>-2.8002223266187128E-3</v>
      </c>
      <c r="C458">
        <f>'Raw Data'!B583</f>
        <v>34.1</v>
      </c>
      <c r="D458" s="11">
        <f>'Raw Data'!H583</f>
        <v>0.6824834105990365</v>
      </c>
    </row>
    <row r="459" spans="1:4" x14ac:dyDescent="0.3">
      <c r="A459" s="1">
        <f>'Raw Data'!A584</f>
        <v>44286</v>
      </c>
      <c r="B459" s="4">
        <f>'Raw Data'!I584</f>
        <v>1.3419236171504853E-4</v>
      </c>
      <c r="C459">
        <f>'Raw Data'!B584</f>
        <v>35</v>
      </c>
      <c r="D459" s="11">
        <f>'Raw Data'!H584</f>
        <v>0.68189233278955963</v>
      </c>
    </row>
    <row r="460" spans="1:4" x14ac:dyDescent="0.3">
      <c r="A460" s="1">
        <f>'Raw Data'!A585</f>
        <v>44316</v>
      </c>
      <c r="B460" s="4">
        <f>'Raw Data'!I585</f>
        <v>-1.2200827489319728E-3</v>
      </c>
      <c r="C460">
        <f>'Raw Data'!B585</f>
        <v>33.6</v>
      </c>
      <c r="D460" s="11">
        <f>'Raw Data'!H585</f>
        <v>0.52482621648460759</v>
      </c>
    </row>
    <row r="461" spans="1:4" x14ac:dyDescent="0.3">
      <c r="A461" s="1">
        <f>'Raw Data'!A586</f>
        <v>44347</v>
      </c>
      <c r="B461" s="4">
        <f>'Raw Data'!I586</f>
        <v>-1.9535799091019435E-3</v>
      </c>
      <c r="C461">
        <f>'Raw Data'!B586</f>
        <v>30.8</v>
      </c>
      <c r="D461" s="11">
        <f>'Raw Data'!H586</f>
        <v>0.39367642619981869</v>
      </c>
    </row>
    <row r="462" spans="1:4" x14ac:dyDescent="0.3">
      <c r="A462" s="1">
        <f>'Raw Data'!A587</f>
        <v>44377</v>
      </c>
      <c r="B462" s="4">
        <f>'Raw Data'!I587</f>
        <v>-4.3147344903753469E-3</v>
      </c>
      <c r="C462">
        <f>'Raw Data'!B587</f>
        <v>31.3</v>
      </c>
      <c r="D462" s="11">
        <f>'Raw Data'!H587</f>
        <v>0.38246743524479698</v>
      </c>
    </row>
    <row r="463" spans="1:4" x14ac:dyDescent="0.3">
      <c r="A463" s="1">
        <f>'Raw Data'!A588</f>
        <v>44407</v>
      </c>
      <c r="B463" s="4">
        <f>'Raw Data'!I588</f>
        <v>-6.5693855651384296E-3</v>
      </c>
      <c r="C463">
        <f>'Raw Data'!B588</f>
        <v>29.2</v>
      </c>
      <c r="D463" s="11">
        <f>'Raw Data'!H588</f>
        <v>0.26281479448294798</v>
      </c>
    </row>
    <row r="464" spans="1:4" x14ac:dyDescent="0.3">
      <c r="A464" s="1">
        <f>'Raw Data'!A589</f>
        <v>44439</v>
      </c>
      <c r="B464" s="4">
        <f>'Raw Data'!I589</f>
        <v>-5.9129009716596716E-3</v>
      </c>
      <c r="C464">
        <f>'Raw Data'!B589</f>
        <v>28</v>
      </c>
      <c r="D464" s="11">
        <f>'Raw Data'!H589</f>
        <v>0.15775332650972373</v>
      </c>
    </row>
    <row r="465" spans="1:4" x14ac:dyDescent="0.3">
      <c r="A465" s="1">
        <f>'Raw Data'!A590</f>
        <v>44469</v>
      </c>
      <c r="B465" s="4">
        <f>'Raw Data'!I590</f>
        <v>-3.8854861353482331E-3</v>
      </c>
      <c r="C465">
        <f>'Raw Data'!B590</f>
        <v>26.6</v>
      </c>
      <c r="D465" s="11">
        <f>'Raw Data'!H590</f>
        <v>0.15344421079462167</v>
      </c>
    </row>
    <row r="466" spans="1:4" x14ac:dyDescent="0.3">
      <c r="A466" s="1">
        <f>'Raw Data'!A591</f>
        <v>44498</v>
      </c>
      <c r="B466" s="4">
        <f>'Raw Data'!I591</f>
        <v>-4.4846483866782978E-3</v>
      </c>
      <c r="C466">
        <f>'Raw Data'!B591</f>
        <v>27.4</v>
      </c>
      <c r="D466" s="11">
        <f>'Raw Data'!H591</f>
        <v>9.453380168854375E-2</v>
      </c>
    </row>
    <row r="467" spans="1:4" x14ac:dyDescent="0.3">
      <c r="A467" s="1">
        <f>'Raw Data'!A592</f>
        <v>44530</v>
      </c>
      <c r="B467" s="4">
        <f>'Raw Data'!I592</f>
        <v>-6.2899857353395979E-3</v>
      </c>
      <c r="C467">
        <f>'Raw Data'!B592</f>
        <v>26.2</v>
      </c>
      <c r="D467" s="11">
        <f>'Raw Data'!H592</f>
        <v>6.3781457349513015E-2</v>
      </c>
    </row>
    <row r="468" spans="1:4" x14ac:dyDescent="0.3">
      <c r="A468" s="1">
        <f>'Raw Data'!A593</f>
        <v>44561</v>
      </c>
      <c r="B468" s="4">
        <f>'Raw Data'!I593</f>
        <v>-6.418955416078502E-3</v>
      </c>
      <c r="C468">
        <f>'Raw Data'!B593</f>
        <v>27.1</v>
      </c>
      <c r="D468" s="11">
        <f>'Raw Data'!H593</f>
        <v>6.3387847678166409E-2</v>
      </c>
    </row>
    <row r="469" spans="1:4" x14ac:dyDescent="0.3">
      <c r="A469" s="1">
        <f>'Raw Data'!A594</f>
        <v>44592</v>
      </c>
      <c r="B469" s="4">
        <f>'Raw Data'!I594</f>
        <v>-3.9306509780505129E-3</v>
      </c>
      <c r="C469">
        <f>'Raw Data'!B594</f>
        <v>24.6</v>
      </c>
      <c r="D469" s="11">
        <f>'Raw Data'!H594</f>
        <v>1.0806125397283983E-2</v>
      </c>
    </row>
    <row r="470" spans="1:4" x14ac:dyDescent="0.3">
      <c r="A470" s="1">
        <f>'Raw Data'!A595</f>
        <v>44620</v>
      </c>
      <c r="B470" s="4">
        <f>'Raw Data'!I595</f>
        <v>-3.8572142938290317E-3</v>
      </c>
      <c r="C470">
        <f>'Raw Data'!B595</f>
        <v>22.4</v>
      </c>
      <c r="D470" s="11">
        <f>'Raw Data'!H595</f>
        <v>-7.3477767572532215E-2</v>
      </c>
    </row>
    <row r="471" spans="1:4" x14ac:dyDescent="0.3">
      <c r="A471" s="1">
        <f>'Raw Data'!A596</f>
        <v>44651</v>
      </c>
      <c r="B471" s="4">
        <f>'Raw Data'!I596</f>
        <v>1.6464264873229315E-4</v>
      </c>
      <c r="C471">
        <f>'Raw Data'!B596</f>
        <v>23</v>
      </c>
      <c r="D471" s="11">
        <f>'Raw Data'!H596</f>
        <v>-7.7971764198728311E-2</v>
      </c>
    </row>
    <row r="472" spans="1:4" x14ac:dyDescent="0.3">
      <c r="A472" s="1">
        <f>'Raw Data'!A597</f>
        <v>44680</v>
      </c>
      <c r="B472" s="4">
        <f>'Raw Data'!I597</f>
        <v>5.5383323674464517E-3</v>
      </c>
      <c r="C472">
        <f>'Raw Data'!B597</f>
        <v>21</v>
      </c>
      <c r="D472" s="11">
        <f>'Raw Data'!H597</f>
        <v>-7.5762509497449115E-2</v>
      </c>
    </row>
    <row r="473" spans="1:4" x14ac:dyDescent="0.3">
      <c r="A473" s="1">
        <f>'Raw Data'!A598</f>
        <v>44712</v>
      </c>
      <c r="B473" s="4">
        <f>'Raw Data'!I598</f>
        <v>3.9568629606154607E-3</v>
      </c>
      <c r="C473">
        <f>'Raw Data'!B598</f>
        <v>20.9</v>
      </c>
      <c r="D473" s="11">
        <f>'Raw Data'!H598</f>
        <v>-6.6977096756727472E-2</v>
      </c>
    </row>
    <row r="474" spans="1:4" x14ac:dyDescent="0.3">
      <c r="A474" s="1">
        <f>'Raw Data'!A599</f>
        <v>44742</v>
      </c>
      <c r="B474" s="4">
        <f>'Raw Data'!I599</f>
        <v>3.8527830857569972E-3</v>
      </c>
      <c r="C474">
        <f>'Raw Data'!B599</f>
        <v>19.100000000000001</v>
      </c>
      <c r="D474" s="11">
        <f>'Raw Data'!H599</f>
        <v>-6.6984350462987896E-2</v>
      </c>
    </row>
    <row r="475" spans="1:4" x14ac:dyDescent="0.3">
      <c r="A475" s="1">
        <f>'Raw Data'!A600</f>
        <v>44771</v>
      </c>
      <c r="B475" s="4">
        <f>'Raw Data'!I600</f>
        <v>6.0830784234455759E-4</v>
      </c>
      <c r="C475">
        <f>'Raw Data'!B600</f>
        <v>21</v>
      </c>
      <c r="D475" s="11">
        <f>'Raw Data'!H600</f>
        <v>-6.2163777644949181E-2</v>
      </c>
    </row>
    <row r="476" spans="1:4" x14ac:dyDescent="0.3">
      <c r="A476" s="1">
        <f>'Raw Data'!A601</f>
        <v>44804</v>
      </c>
      <c r="B476" s="4">
        <f>'Raw Data'!I601</f>
        <v>6.0252179846018578E-3</v>
      </c>
      <c r="C476">
        <f>'Raw Data'!B601</f>
        <v>20.5</v>
      </c>
      <c r="D476" s="11">
        <f>'Raw Data'!H601</f>
        <v>-2.8235164106531041E-2</v>
      </c>
    </row>
    <row r="477" spans="1:4" x14ac:dyDescent="0.3">
      <c r="A477" s="1">
        <f>'Raw Data'!A602</f>
        <v>44834</v>
      </c>
      <c r="B477" s="4">
        <f>'Raw Data'!I602</f>
        <v>1.2796844060623348E-2</v>
      </c>
      <c r="C477">
        <f>'Raw Data'!B602</f>
        <v>18.600000000000001</v>
      </c>
      <c r="D477" s="11">
        <f>'Raw Data'!H602</f>
        <v>-2.9059168001767777E-2</v>
      </c>
    </row>
    <row r="478" spans="1:4" x14ac:dyDescent="0.3">
      <c r="A478" s="1">
        <f>'Raw Data'!A603</f>
        <v>44865</v>
      </c>
      <c r="B478" s="4">
        <f>'Raw Data'!I603</f>
        <v>1.5265465158448316E-2</v>
      </c>
      <c r="C478">
        <f>'Raw Data'!B603</f>
        <v>20.399999999999999</v>
      </c>
      <c r="D478" s="11">
        <f>'Raw Data'!H603</f>
        <v>-1.5201846742863845E-3</v>
      </c>
    </row>
    <row r="479" spans="1:4" x14ac:dyDescent="0.3">
      <c r="A479" s="1">
        <f>'Raw Data'!A604</f>
        <v>44895</v>
      </c>
      <c r="B479" s="4">
        <f>'Raw Data'!I604</f>
        <v>1.1082434269690924E-2</v>
      </c>
      <c r="C479">
        <f>'Raw Data'!B604</f>
        <v>21.4</v>
      </c>
      <c r="D479" s="11">
        <f>'Raw Data'!H604</f>
        <v>-1.4048100696786303E-3</v>
      </c>
    </row>
    <row r="480" spans="1:4" x14ac:dyDescent="0.3">
      <c r="A480" s="1">
        <f>'Raw Data'!A605</f>
        <v>44925</v>
      </c>
      <c r="B480" s="4">
        <f>'Raw Data'!I605</f>
        <v>1.2335670603819279E-2</v>
      </c>
      <c r="C480">
        <f>'Raw Data'!B605</f>
        <v>20.100000000000001</v>
      </c>
      <c r="D480" s="11">
        <f>'Raw Data'!H605</f>
        <v>8.9806915132473186E-4</v>
      </c>
    </row>
    <row r="481" spans="1:4" x14ac:dyDescent="0.3">
      <c r="A481" s="1">
        <f>'Raw Data'!A606</f>
        <v>44957</v>
      </c>
      <c r="B481" s="4">
        <f>'Raw Data'!I606</f>
        <v>8.9543343222102251E-3</v>
      </c>
      <c r="C481">
        <f>'Raw Data'!B606</f>
        <v>21.8</v>
      </c>
      <c r="D481" s="11">
        <f>'Raw Data'!H606</f>
        <v>2.1838554767894092E-2</v>
      </c>
    </row>
    <row r="482" spans="1:4" x14ac:dyDescent="0.3">
      <c r="A482" s="1">
        <f>'Raw Data'!A607</f>
        <v>44985</v>
      </c>
      <c r="B482" s="4">
        <f>'Raw Data'!I607</f>
        <v>1.3012263997480837E-2</v>
      </c>
      <c r="C482">
        <f>'Raw Data'!B607</f>
        <v>21.7</v>
      </c>
      <c r="D482" s="11">
        <f>'Raw Data'!H607</f>
        <v>6.4027056971251994E-2</v>
      </c>
    </row>
    <row r="483" spans="1:4" x14ac:dyDescent="0.3">
      <c r="A483" s="1">
        <f>'Raw Data'!A608</f>
        <v>45016</v>
      </c>
      <c r="B483" s="4">
        <f>'Raw Data'!I608</f>
        <v>8.3364347669192471E-3</v>
      </c>
      <c r="C483">
        <f>'Raw Data'!B608</f>
        <v>22.4</v>
      </c>
      <c r="D483" s="11">
        <f>'Raw Data'!H608</f>
        <v>6.5162760797147889E-2</v>
      </c>
    </row>
    <row r="484" spans="1:4" x14ac:dyDescent="0.3">
      <c r="A484" s="1">
        <f>'Raw Data'!A609</f>
        <v>45044</v>
      </c>
      <c r="B484" s="4">
        <f>'Raw Data'!I609</f>
        <v>7.1790665434824583E-3</v>
      </c>
      <c r="C484">
        <f>'Raw Data'!B609</f>
        <v>22.8</v>
      </c>
      <c r="D484" s="11">
        <f>'Raw Data'!H609</f>
        <v>7.3987081620669359E-2</v>
      </c>
    </row>
    <row r="485" spans="1:4" x14ac:dyDescent="0.3">
      <c r="A485" s="1">
        <f>'Raw Data'!A610</f>
        <v>45077</v>
      </c>
      <c r="B485" s="4">
        <f>'Raw Data'!I610</f>
        <v>9.1163824799725124E-3</v>
      </c>
      <c r="C485">
        <f>'Raw Data'!B610</f>
        <v>22.6</v>
      </c>
      <c r="D485" s="11">
        <f>'Raw Data'!H610</f>
        <v>6.1745589600742834E-2</v>
      </c>
    </row>
    <row r="486" spans="1:4" x14ac:dyDescent="0.3">
      <c r="A486" s="1">
        <f>'Raw Data'!A611</f>
        <v>45107</v>
      </c>
      <c r="B486" s="4">
        <f>'Raw Data'!I611</f>
        <v>1.0855780434838411E-2</v>
      </c>
      <c r="C486">
        <f>'Raw Data'!B611</f>
        <v>24.1</v>
      </c>
      <c r="D486" s="11">
        <f>'Raw Data'!H611</f>
        <v>6.3784097504352655E-2</v>
      </c>
    </row>
    <row r="487" spans="1:4" x14ac:dyDescent="0.3">
      <c r="A487" s="1">
        <f>'Raw Data'!A612</f>
        <v>45138</v>
      </c>
      <c r="B487" s="4">
        <f>'Raw Data'!I612</f>
        <v>1.228250472701406E-2</v>
      </c>
      <c r="C487">
        <f>'Raw Data'!B612</f>
        <v>24.8</v>
      </c>
      <c r="D487" s="11">
        <f>'Raw Data'!H612</f>
        <v>7.0108349267049119E-2</v>
      </c>
    </row>
    <row r="488" spans="1:4" x14ac:dyDescent="0.3">
      <c r="A488" s="1">
        <f>'Raw Data'!A613</f>
        <v>45169</v>
      </c>
      <c r="B488" s="4">
        <f>'Raw Data'!I613</f>
        <v>1.3485103133651262E-2</v>
      </c>
      <c r="C488">
        <f>'Raw Data'!B613</f>
        <v>23.9</v>
      </c>
      <c r="D488" s="11">
        <f>'Raw Data'!H613</f>
        <v>8.7337237732415973E-2</v>
      </c>
    </row>
    <row r="489" spans="1:4" x14ac:dyDescent="0.3">
      <c r="A489" s="1">
        <f>'Raw Data'!A614</f>
        <v>45198</v>
      </c>
      <c r="B489" s="4">
        <f>'Raw Data'!I614</f>
        <v>1.7879760398599134E-2</v>
      </c>
      <c r="C489">
        <f>'Raw Data'!B614</f>
        <v>22.8</v>
      </c>
      <c r="D489" s="11">
        <f>'Raw Data'!H614</f>
        <v>7.4765291607396867E-2</v>
      </c>
    </row>
    <row r="490" spans="1:4" x14ac:dyDescent="0.3">
      <c r="A490" s="1">
        <f>'Raw Data'!A615</f>
        <v>45230</v>
      </c>
      <c r="B490" s="4">
        <f>'Raw Data'!I615</f>
        <v>2.1201504186143666E-2</v>
      </c>
      <c r="C490">
        <f>'Raw Data'!B615</f>
        <v>22</v>
      </c>
      <c r="D490" s="11">
        <f>'Raw Data'!H615</f>
        <v>5.5204691552949159E-2</v>
      </c>
    </row>
    <row r="491" spans="1:4" x14ac:dyDescent="0.3">
      <c r="A491" s="1">
        <f>'Raw Data'!A616</f>
        <v>45260</v>
      </c>
      <c r="B491" s="4">
        <f>'Raw Data'!I616</f>
        <v>1.5556021515440339E-2</v>
      </c>
      <c r="C491">
        <f>'Raw Data'!B616</f>
        <v>23.9</v>
      </c>
      <c r="D491" s="11">
        <f>'Raw Data'!H616</f>
        <v>6.7019301108547591E-2</v>
      </c>
    </row>
    <row r="492" spans="1:4" x14ac:dyDescent="0.3">
      <c r="A492" s="1">
        <f>'Raw Data'!A617</f>
        <v>45289</v>
      </c>
      <c r="B492" s="4">
        <f>'Raw Data'!I617</f>
        <v>1.0871481076921347E-2</v>
      </c>
      <c r="C492">
        <f>'Raw Data'!B617</f>
        <v>25</v>
      </c>
      <c r="D492" s="11">
        <f>'Raw Data'!H617</f>
        <v>6.7799461641991909E-2</v>
      </c>
    </row>
    <row r="493" spans="1:4" x14ac:dyDescent="0.3">
      <c r="A493" s="1">
        <f>'Raw Data'!A618</f>
        <v>45322</v>
      </c>
      <c r="B493" s="4">
        <f>'Raw Data'!I618</f>
        <v>1.1588387178918677E-2</v>
      </c>
      <c r="C493">
        <f>'Raw Data'!B618</f>
        <v>25.2</v>
      </c>
      <c r="D493" s="11">
        <f>'Raw Data'!H618</f>
        <v>9.3935325053149832E-2</v>
      </c>
    </row>
    <row r="494" spans="1:4" x14ac:dyDescent="0.3">
      <c r="A494" s="1">
        <f>'Raw Data'!A619</f>
        <v>45351</v>
      </c>
      <c r="B494" s="4">
        <f>'Raw Data'!I619</f>
        <v>1.4254788091305502E-2</v>
      </c>
      <c r="C494">
        <f>'Raw Data'!B619</f>
        <v>26</v>
      </c>
      <c r="D494" s="11">
        <f>'Raw Data'!H619</f>
        <v>9.7824299884912591E-2</v>
      </c>
    </row>
    <row r="495" spans="1:4" x14ac:dyDescent="0.3">
      <c r="A495" s="1">
        <f>'Raw Data'!A620</f>
        <v>45380</v>
      </c>
      <c r="B495" s="4">
        <f>'Raw Data'!I620</f>
        <v>1.3726466266508218E-2</v>
      </c>
      <c r="C495">
        <f>'Raw Data'!B620</f>
        <v>26.9</v>
      </c>
      <c r="D495" s="11">
        <f>'Raw Data'!H620</f>
        <v>0.10024141336552184</v>
      </c>
    </row>
    <row r="496" spans="1:4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US MKT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Feiler</dc:creator>
  <cp:lastModifiedBy>Matthias Feiler</cp:lastModifiedBy>
  <dcterms:created xsi:type="dcterms:W3CDTF">2023-03-30T19:38:59Z</dcterms:created>
  <dcterms:modified xsi:type="dcterms:W3CDTF">2026-03-27T11:11:51Z</dcterms:modified>
</cp:coreProperties>
</file>